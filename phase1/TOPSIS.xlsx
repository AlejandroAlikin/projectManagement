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<sst xmlns="http://schemas.openxmlformats.org/spreadsheetml/2006/main" count="189" uniqueCount="34">
  <si>
    <t>Оценки весов</t>
  </si>
  <si>
    <t>К1</t>
  </si>
  <si>
    <t>К2</t>
  </si>
  <si>
    <t>К3</t>
  </si>
  <si>
    <t>К4</t>
  </si>
  <si>
    <t>пес</t>
  </si>
  <si>
    <t>ожид</t>
  </si>
  <si>
    <t>оптим</t>
  </si>
  <si>
    <t>Э1</t>
  </si>
  <si>
    <t>Неупокоев Дмитрий</t>
  </si>
  <si>
    <t>Э2</t>
  </si>
  <si>
    <t>Аликин Александр</t>
  </si>
  <si>
    <t>Э3</t>
  </si>
  <si>
    <t>Грибков Никита</t>
  </si>
  <si>
    <t>Агрегированные оценки весов</t>
  </si>
  <si>
    <t>Оценки альтернатив по критерям Э1</t>
  </si>
  <si>
    <t>А1</t>
  </si>
  <si>
    <t>А2</t>
  </si>
  <si>
    <t>А3</t>
  </si>
  <si>
    <t>А4</t>
  </si>
  <si>
    <t>Оценки альтернатив по критерям Э2</t>
  </si>
  <si>
    <t>Оценки альтернатив по критерям Э3</t>
  </si>
  <si>
    <t>Агрегированная оценка</t>
  </si>
  <si>
    <t>Нормализация</t>
  </si>
  <si>
    <t>Взвешивание</t>
  </si>
  <si>
    <t>А+</t>
  </si>
  <si>
    <t>А-</t>
  </si>
  <si>
    <t>Матрица расстояний</t>
  </si>
  <si>
    <t>d+</t>
  </si>
  <si>
    <t>d-</t>
  </si>
  <si>
    <t>Сумма d+</t>
  </si>
  <si>
    <t>Сумма d-</t>
  </si>
  <si>
    <t>СС</t>
  </si>
  <si>
    <t>Рейтинг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</si>
</sst>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bottom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0" fillId="0" fontId="3" numFmtId="0" xfId="0" applyAlignment="1" applyFont="1">
      <alignment readingOrder="0" vertical="bottom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  <c r="B2" s="3" t="s">
        <v>1</v>
      </c>
      <c r="C2" s="4"/>
      <c r="D2" s="5"/>
      <c r="E2" s="3" t="s">
        <v>2</v>
      </c>
      <c r="F2" s="4"/>
      <c r="G2" s="5"/>
      <c r="H2" s="3" t="s">
        <v>3</v>
      </c>
      <c r="I2" s="4"/>
      <c r="J2" s="5"/>
      <c r="K2" s="3" t="s">
        <v>4</v>
      </c>
      <c r="L2" s="4"/>
      <c r="M2" s="5"/>
    </row>
    <row r="3">
      <c r="A3" s="2"/>
      <c r="B3" s="6" t="s">
        <v>5</v>
      </c>
      <c r="C3" s="7" t="s">
        <v>6</v>
      </c>
      <c r="D3" s="8" t="s">
        <v>7</v>
      </c>
      <c r="E3" s="6" t="s">
        <v>5</v>
      </c>
      <c r="F3" s="7" t="s">
        <v>6</v>
      </c>
      <c r="G3" s="8" t="s">
        <v>7</v>
      </c>
      <c r="H3" s="6" t="s">
        <v>5</v>
      </c>
      <c r="I3" s="7" t="s">
        <v>6</v>
      </c>
      <c r="J3" s="8" t="s">
        <v>7</v>
      </c>
      <c r="K3" s="6" t="s">
        <v>5</v>
      </c>
      <c r="L3" s="7" t="s">
        <v>6</v>
      </c>
      <c r="M3" s="8" t="s">
        <v>7</v>
      </c>
    </row>
    <row r="4">
      <c r="A4" s="9" t="s">
        <v>8</v>
      </c>
      <c r="B4" s="6">
        <v>2.0</v>
      </c>
      <c r="C4" s="7">
        <v>5.0</v>
      </c>
      <c r="D4" s="8">
        <v>8.0</v>
      </c>
      <c r="E4" s="6">
        <v>1.0</v>
      </c>
      <c r="F4" s="7">
        <v>4.0</v>
      </c>
      <c r="G4" s="8">
        <v>6.0</v>
      </c>
      <c r="H4" s="6">
        <v>1.0</v>
      </c>
      <c r="I4" s="7">
        <v>4.0</v>
      </c>
      <c r="J4" s="8">
        <v>7.0</v>
      </c>
      <c r="K4" s="6">
        <v>3.0</v>
      </c>
      <c r="L4" s="7">
        <v>6.0</v>
      </c>
      <c r="M4" s="8">
        <v>9.0</v>
      </c>
      <c r="N4" s="1" t="s">
        <v>9</v>
      </c>
    </row>
    <row r="5">
      <c r="A5" s="9" t="s">
        <v>10</v>
      </c>
      <c r="B5" s="6">
        <v>3.0</v>
      </c>
      <c r="C5" s="7">
        <v>7.0</v>
      </c>
      <c r="D5" s="8">
        <v>9.0</v>
      </c>
      <c r="E5" s="6">
        <v>4.0</v>
      </c>
      <c r="F5" s="7">
        <v>5.0</v>
      </c>
      <c r="G5" s="8">
        <v>6.0</v>
      </c>
      <c r="H5" s="6">
        <v>2.0</v>
      </c>
      <c r="I5" s="7">
        <v>4.0</v>
      </c>
      <c r="J5" s="8">
        <v>5.0</v>
      </c>
      <c r="K5" s="6">
        <v>6.0</v>
      </c>
      <c r="L5" s="7">
        <v>7.0</v>
      </c>
      <c r="M5" s="8">
        <v>9.0</v>
      </c>
      <c r="N5" s="1" t="s">
        <v>11</v>
      </c>
    </row>
    <row r="6">
      <c r="A6" s="9" t="s">
        <v>12</v>
      </c>
      <c r="B6" s="10">
        <v>5.0</v>
      </c>
      <c r="C6" s="11">
        <v>7.0</v>
      </c>
      <c r="D6" s="12">
        <v>8.0</v>
      </c>
      <c r="E6" s="10">
        <v>3.0</v>
      </c>
      <c r="F6" s="11">
        <v>4.0</v>
      </c>
      <c r="G6" s="12">
        <v>6.0</v>
      </c>
      <c r="H6" s="10">
        <v>9.0</v>
      </c>
      <c r="I6" s="11">
        <v>9.0</v>
      </c>
      <c r="J6" s="12">
        <v>10.0</v>
      </c>
      <c r="K6" s="10">
        <v>2.0</v>
      </c>
      <c r="L6" s="11">
        <v>5.0</v>
      </c>
      <c r="M6" s="12">
        <v>7.0</v>
      </c>
      <c r="N6" s="1" t="s">
        <v>13</v>
      </c>
    </row>
    <row r="8">
      <c r="A8" s="1" t="s">
        <v>14</v>
      </c>
    </row>
    <row r="9">
      <c r="B9" s="3" t="s">
        <v>1</v>
      </c>
      <c r="C9" s="4"/>
      <c r="D9" s="5"/>
      <c r="E9" s="3" t="s">
        <v>2</v>
      </c>
      <c r="F9" s="4"/>
      <c r="G9" s="5"/>
      <c r="H9" s="3" t="s">
        <v>3</v>
      </c>
      <c r="I9" s="4"/>
      <c r="J9" s="5"/>
      <c r="K9" s="3" t="s">
        <v>4</v>
      </c>
      <c r="L9" s="4"/>
      <c r="M9" s="5"/>
    </row>
    <row r="10">
      <c r="B10" s="6" t="s">
        <v>5</v>
      </c>
      <c r="C10" s="7" t="s">
        <v>6</v>
      </c>
      <c r="D10" s="8" t="s">
        <v>7</v>
      </c>
      <c r="E10" s="6" t="s">
        <v>5</v>
      </c>
      <c r="F10" s="7" t="s">
        <v>6</v>
      </c>
      <c r="G10" s="8" t="s">
        <v>7</v>
      </c>
      <c r="H10" s="6" t="s">
        <v>5</v>
      </c>
      <c r="I10" s="7" t="s">
        <v>6</v>
      </c>
      <c r="J10" s="8" t="s">
        <v>7</v>
      </c>
      <c r="K10" s="6" t="s">
        <v>5</v>
      </c>
      <c r="L10" s="7" t="s">
        <v>6</v>
      </c>
      <c r="M10" s="8" t="s">
        <v>7</v>
      </c>
    </row>
    <row r="11">
      <c r="B11" s="10">
        <f>MIN(B4:B6)</f>
        <v>2</v>
      </c>
      <c r="C11" s="11">
        <f>SUM(C4,C5,C6)/3</f>
        <v>6.333333333</v>
      </c>
      <c r="D11" s="12">
        <f>MAX(D4,D5,D6)</f>
        <v>9</v>
      </c>
      <c r="E11" s="10">
        <f>MIN(E4:E6)</f>
        <v>1</v>
      </c>
      <c r="F11" s="11">
        <f>SUM(F4,F5,F6)/3</f>
        <v>4.333333333</v>
      </c>
      <c r="G11" s="12">
        <f>MAX(G4,G5,G6)</f>
        <v>6</v>
      </c>
      <c r="H11" s="10">
        <f>MIN(H4:H6)</f>
        <v>1</v>
      </c>
      <c r="I11" s="11">
        <f>SUM(I4,I5,I6)/3</f>
        <v>5.666666667</v>
      </c>
      <c r="J11" s="12">
        <f>MAX(J4,J5,J6)</f>
        <v>10</v>
      </c>
      <c r="K11" s="10">
        <f>MIN(K4:K6)</f>
        <v>2</v>
      </c>
      <c r="L11" s="11">
        <f>SUM(L4,L5,L6)/3</f>
        <v>6</v>
      </c>
      <c r="M11" s="12">
        <f>MAX(M4,M5,M6)</f>
        <v>9</v>
      </c>
    </row>
    <row r="13">
      <c r="A13" s="1" t="s">
        <v>15</v>
      </c>
    </row>
    <row r="14">
      <c r="B14" s="3" t="s">
        <v>1</v>
      </c>
      <c r="C14" s="4"/>
      <c r="D14" s="5"/>
      <c r="E14" s="3" t="s">
        <v>2</v>
      </c>
      <c r="F14" s="4"/>
      <c r="G14" s="5"/>
      <c r="H14" s="3" t="s">
        <v>3</v>
      </c>
      <c r="I14" s="4"/>
      <c r="J14" s="5"/>
      <c r="K14" s="3" t="s">
        <v>4</v>
      </c>
      <c r="L14" s="4"/>
      <c r="M14" s="5"/>
    </row>
    <row r="15">
      <c r="B15" s="6" t="s">
        <v>5</v>
      </c>
      <c r="C15" s="7" t="s">
        <v>6</v>
      </c>
      <c r="D15" s="8" t="s">
        <v>7</v>
      </c>
      <c r="E15" s="6" t="s">
        <v>5</v>
      </c>
      <c r="F15" s="7" t="s">
        <v>6</v>
      </c>
      <c r="G15" s="8" t="s">
        <v>7</v>
      </c>
      <c r="H15" s="6" t="s">
        <v>5</v>
      </c>
      <c r="I15" s="7" t="s">
        <v>6</v>
      </c>
      <c r="J15" s="8" t="s">
        <v>7</v>
      </c>
      <c r="K15" s="6" t="s">
        <v>5</v>
      </c>
      <c r="L15" s="7" t="s">
        <v>6</v>
      </c>
      <c r="M15" s="8" t="s">
        <v>7</v>
      </c>
    </row>
    <row r="16">
      <c r="A16" s="13" t="s">
        <v>16</v>
      </c>
      <c r="B16" s="6">
        <v>4.0</v>
      </c>
      <c r="C16" s="7">
        <v>6.0</v>
      </c>
      <c r="D16" s="8">
        <v>8.0</v>
      </c>
      <c r="E16" s="6">
        <v>5.0</v>
      </c>
      <c r="F16" s="7">
        <v>7.0</v>
      </c>
      <c r="G16" s="8">
        <v>9.0</v>
      </c>
      <c r="H16" s="6">
        <v>4.0</v>
      </c>
      <c r="I16" s="7">
        <v>7.0</v>
      </c>
      <c r="J16" s="8">
        <v>8.0</v>
      </c>
      <c r="K16" s="6">
        <v>4.0</v>
      </c>
      <c r="L16" s="7">
        <v>6.0</v>
      </c>
      <c r="M16" s="8">
        <v>7.0</v>
      </c>
    </row>
    <row r="17">
      <c r="A17" s="13" t="s">
        <v>17</v>
      </c>
      <c r="B17" s="6">
        <v>4.0</v>
      </c>
      <c r="C17" s="7">
        <v>7.0</v>
      </c>
      <c r="D17" s="8">
        <v>9.0</v>
      </c>
      <c r="E17" s="6">
        <v>4.0</v>
      </c>
      <c r="F17" s="7">
        <v>6.0</v>
      </c>
      <c r="G17" s="8">
        <v>8.0</v>
      </c>
      <c r="H17" s="6">
        <v>3.0</v>
      </c>
      <c r="I17" s="7">
        <v>6.0</v>
      </c>
      <c r="J17" s="8">
        <v>8.0</v>
      </c>
      <c r="K17" s="6">
        <v>3.0</v>
      </c>
      <c r="L17" s="7">
        <v>5.0</v>
      </c>
      <c r="M17" s="8">
        <v>6.0</v>
      </c>
    </row>
    <row r="18">
      <c r="A18" s="13" t="s">
        <v>18</v>
      </c>
      <c r="B18" s="6">
        <v>3.0</v>
      </c>
      <c r="C18" s="7">
        <v>6.0</v>
      </c>
      <c r="D18" s="8">
        <v>9.0</v>
      </c>
      <c r="E18" s="6">
        <v>2.0</v>
      </c>
      <c r="F18" s="7">
        <v>4.0</v>
      </c>
      <c r="G18" s="8">
        <v>5.0</v>
      </c>
      <c r="H18" s="6">
        <v>4.0</v>
      </c>
      <c r="I18" s="7">
        <v>5.0</v>
      </c>
      <c r="J18" s="8">
        <v>7.0</v>
      </c>
      <c r="K18" s="6">
        <v>3.0</v>
      </c>
      <c r="L18" s="7">
        <v>6.0</v>
      </c>
      <c r="M18" s="8">
        <v>8.0</v>
      </c>
    </row>
    <row r="19">
      <c r="A19" s="1" t="s">
        <v>19</v>
      </c>
      <c r="B19" s="10">
        <v>4.0</v>
      </c>
      <c r="C19" s="11">
        <v>5.0</v>
      </c>
      <c r="D19" s="12">
        <v>7.0</v>
      </c>
      <c r="E19" s="10">
        <v>2.0</v>
      </c>
      <c r="F19" s="11">
        <v>3.0</v>
      </c>
      <c r="G19" s="12">
        <v>5.0</v>
      </c>
      <c r="H19" s="10">
        <v>3.0</v>
      </c>
      <c r="I19" s="11">
        <v>5.0</v>
      </c>
      <c r="J19" s="12">
        <v>6.0</v>
      </c>
      <c r="K19" s="10">
        <v>2.0</v>
      </c>
      <c r="L19" s="11">
        <v>4.0</v>
      </c>
      <c r="M19" s="12">
        <v>6.0</v>
      </c>
    </row>
    <row r="21">
      <c r="A21" s="1" t="s">
        <v>20</v>
      </c>
    </row>
    <row r="22">
      <c r="B22" s="14" t="s">
        <v>1</v>
      </c>
      <c r="C22" s="4"/>
      <c r="D22" s="5"/>
      <c r="E22" s="14"/>
      <c r="F22" s="15" t="s">
        <v>2</v>
      </c>
      <c r="G22" s="16"/>
      <c r="H22" s="14"/>
      <c r="I22" s="15" t="s">
        <v>3</v>
      </c>
      <c r="J22" s="16"/>
      <c r="K22" s="14"/>
      <c r="L22" s="15" t="s">
        <v>4</v>
      </c>
      <c r="M22" s="16"/>
    </row>
    <row r="23">
      <c r="B23" s="6" t="s">
        <v>5</v>
      </c>
      <c r="C23" s="7" t="s">
        <v>6</v>
      </c>
      <c r="D23" s="8" t="s">
        <v>7</v>
      </c>
      <c r="E23" s="6" t="s">
        <v>5</v>
      </c>
      <c r="F23" s="7" t="s">
        <v>6</v>
      </c>
      <c r="G23" s="8" t="s">
        <v>7</v>
      </c>
      <c r="H23" s="6" t="s">
        <v>5</v>
      </c>
      <c r="I23" s="7" t="s">
        <v>6</v>
      </c>
      <c r="J23" s="8" t="s">
        <v>7</v>
      </c>
      <c r="K23" s="6" t="s">
        <v>5</v>
      </c>
      <c r="L23" s="7" t="s">
        <v>6</v>
      </c>
      <c r="M23" s="8" t="s">
        <v>7</v>
      </c>
    </row>
    <row r="24">
      <c r="A24" s="13" t="s">
        <v>16</v>
      </c>
      <c r="B24" s="6">
        <v>4.0</v>
      </c>
      <c r="C24" s="7">
        <v>5.0</v>
      </c>
      <c r="D24" s="8">
        <v>7.0</v>
      </c>
      <c r="E24" s="6">
        <v>4.0</v>
      </c>
      <c r="F24" s="7">
        <v>7.0</v>
      </c>
      <c r="G24" s="8">
        <v>9.0</v>
      </c>
      <c r="H24" s="6">
        <v>6.0</v>
      </c>
      <c r="I24" s="7">
        <v>7.0</v>
      </c>
      <c r="J24" s="8">
        <v>7.0</v>
      </c>
      <c r="K24" s="6">
        <v>3.0</v>
      </c>
      <c r="L24" s="7">
        <v>4.0</v>
      </c>
      <c r="M24" s="8">
        <v>6.0</v>
      </c>
    </row>
    <row r="25">
      <c r="A25" s="13" t="s">
        <v>17</v>
      </c>
      <c r="B25" s="6">
        <v>5.0</v>
      </c>
      <c r="C25" s="7">
        <v>7.0</v>
      </c>
      <c r="D25" s="8">
        <v>8.0</v>
      </c>
      <c r="E25" s="6">
        <v>2.0</v>
      </c>
      <c r="F25" s="7">
        <v>4.0</v>
      </c>
      <c r="G25" s="8">
        <v>5.0</v>
      </c>
      <c r="H25" s="6">
        <v>4.0</v>
      </c>
      <c r="I25" s="7">
        <v>5.0</v>
      </c>
      <c r="J25" s="8">
        <v>7.0</v>
      </c>
      <c r="K25" s="6">
        <v>5.0</v>
      </c>
      <c r="L25" s="7">
        <v>7.0</v>
      </c>
      <c r="M25" s="8">
        <v>9.0</v>
      </c>
    </row>
    <row r="26">
      <c r="A26" s="13" t="s">
        <v>18</v>
      </c>
      <c r="B26" s="6">
        <v>6.0</v>
      </c>
      <c r="C26" s="7">
        <v>7.0</v>
      </c>
      <c r="D26" s="8">
        <v>8.0</v>
      </c>
      <c r="E26" s="6">
        <v>4.0</v>
      </c>
      <c r="F26" s="7">
        <v>6.0</v>
      </c>
      <c r="G26" s="8">
        <v>8.0</v>
      </c>
      <c r="H26" s="6">
        <v>3.0</v>
      </c>
      <c r="I26" s="7">
        <v>4.0</v>
      </c>
      <c r="J26" s="8">
        <v>7.0</v>
      </c>
      <c r="K26" s="6">
        <v>4.0</v>
      </c>
      <c r="L26" s="7">
        <v>5.0</v>
      </c>
      <c r="M26" s="8">
        <v>8.0</v>
      </c>
    </row>
    <row r="27">
      <c r="A27" s="1" t="s">
        <v>19</v>
      </c>
      <c r="B27" s="10">
        <v>3.0</v>
      </c>
      <c r="C27" s="11">
        <v>4.0</v>
      </c>
      <c r="D27" s="12">
        <v>6.0</v>
      </c>
      <c r="E27" s="10">
        <v>6.0</v>
      </c>
      <c r="F27" s="11">
        <v>7.0</v>
      </c>
      <c r="G27" s="12">
        <v>9.0</v>
      </c>
      <c r="H27" s="10">
        <v>5.0</v>
      </c>
      <c r="I27" s="11">
        <v>6.0</v>
      </c>
      <c r="J27" s="12">
        <v>8.0</v>
      </c>
      <c r="K27" s="10">
        <v>3.0</v>
      </c>
      <c r="L27" s="11">
        <v>3.0</v>
      </c>
      <c r="M27" s="12">
        <v>6.0</v>
      </c>
    </row>
    <row r="29">
      <c r="A29" s="1" t="s">
        <v>21</v>
      </c>
    </row>
    <row r="30">
      <c r="B30" s="3" t="s">
        <v>1</v>
      </c>
      <c r="C30" s="4"/>
      <c r="D30" s="4"/>
      <c r="E30" s="15" t="s">
        <v>2</v>
      </c>
      <c r="F30" s="4"/>
      <c r="G30" s="4"/>
      <c r="H30" s="15" t="s">
        <v>3</v>
      </c>
      <c r="I30" s="4"/>
      <c r="J30" s="4"/>
      <c r="K30" s="15" t="s">
        <v>4</v>
      </c>
      <c r="L30" s="4"/>
      <c r="M30" s="5"/>
    </row>
    <row r="31">
      <c r="B31" s="17" t="s">
        <v>5</v>
      </c>
      <c r="C31" s="18" t="s">
        <v>6</v>
      </c>
      <c r="D31" s="18" t="s">
        <v>7</v>
      </c>
      <c r="E31" s="17" t="s">
        <v>5</v>
      </c>
      <c r="F31" s="18" t="s">
        <v>6</v>
      </c>
      <c r="G31" s="18" t="s">
        <v>7</v>
      </c>
      <c r="H31" s="17" t="s">
        <v>5</v>
      </c>
      <c r="I31" s="18" t="s">
        <v>6</v>
      </c>
      <c r="J31" s="18" t="s">
        <v>7</v>
      </c>
      <c r="K31" s="17" t="s">
        <v>5</v>
      </c>
      <c r="L31" s="18" t="s">
        <v>6</v>
      </c>
      <c r="M31" s="19" t="s">
        <v>7</v>
      </c>
    </row>
    <row r="32">
      <c r="A32" s="13" t="s">
        <v>16</v>
      </c>
      <c r="B32" s="6">
        <v>4.0</v>
      </c>
      <c r="C32" s="7">
        <v>5.0</v>
      </c>
      <c r="D32" s="7">
        <v>6.0</v>
      </c>
      <c r="E32" s="6">
        <v>4.0</v>
      </c>
      <c r="F32" s="7">
        <v>6.0</v>
      </c>
      <c r="G32" s="7">
        <v>7.0</v>
      </c>
      <c r="H32" s="6">
        <v>3.0</v>
      </c>
      <c r="I32" s="7">
        <v>4.0</v>
      </c>
      <c r="J32" s="7">
        <v>5.0</v>
      </c>
      <c r="K32" s="6">
        <v>5.0</v>
      </c>
      <c r="L32" s="7">
        <v>7.0</v>
      </c>
      <c r="M32" s="8">
        <v>8.0</v>
      </c>
    </row>
    <row r="33">
      <c r="A33" s="13" t="s">
        <v>17</v>
      </c>
      <c r="B33" s="6">
        <v>2.0</v>
      </c>
      <c r="C33" s="7">
        <v>3.0</v>
      </c>
      <c r="D33" s="7">
        <v>4.0</v>
      </c>
      <c r="E33" s="6">
        <v>9.0</v>
      </c>
      <c r="F33" s="7">
        <v>9.0</v>
      </c>
      <c r="G33" s="7">
        <v>10.0</v>
      </c>
      <c r="H33" s="6">
        <v>10.0</v>
      </c>
      <c r="I33" s="7">
        <v>10.0</v>
      </c>
      <c r="J33" s="7">
        <v>10.0</v>
      </c>
      <c r="K33" s="6">
        <v>1.0</v>
      </c>
      <c r="L33" s="7">
        <v>2.0</v>
      </c>
      <c r="M33" s="8">
        <v>3.0</v>
      </c>
    </row>
    <row r="34">
      <c r="A34" s="13" t="s">
        <v>18</v>
      </c>
      <c r="B34" s="6">
        <v>5.0</v>
      </c>
      <c r="C34" s="7">
        <v>6.0</v>
      </c>
      <c r="D34" s="7">
        <v>6.0</v>
      </c>
      <c r="E34" s="6">
        <v>2.0</v>
      </c>
      <c r="F34" s="7">
        <v>3.0</v>
      </c>
      <c r="G34" s="7">
        <v>4.0</v>
      </c>
      <c r="H34" s="6">
        <v>1.0</v>
      </c>
      <c r="I34" s="7">
        <v>1.0</v>
      </c>
      <c r="J34" s="7">
        <v>2.0</v>
      </c>
      <c r="K34" s="6">
        <v>8.0</v>
      </c>
      <c r="L34" s="7">
        <v>9.0</v>
      </c>
      <c r="M34" s="8">
        <v>9.0</v>
      </c>
    </row>
    <row r="35">
      <c r="A35" s="1" t="s">
        <v>19</v>
      </c>
      <c r="B35" s="10">
        <v>9.0</v>
      </c>
      <c r="C35" s="11">
        <v>10.0</v>
      </c>
      <c r="D35" s="11">
        <v>10.0</v>
      </c>
      <c r="E35" s="10">
        <v>1.0</v>
      </c>
      <c r="F35" s="11">
        <v>1.0</v>
      </c>
      <c r="G35" s="11">
        <v>2.0</v>
      </c>
      <c r="H35" s="10">
        <v>1.0</v>
      </c>
      <c r="I35" s="11">
        <v>1.0</v>
      </c>
      <c r="J35" s="11">
        <v>2.0</v>
      </c>
      <c r="K35" s="10">
        <v>3.0</v>
      </c>
      <c r="L35" s="11">
        <v>3.0</v>
      </c>
      <c r="M35" s="12">
        <v>5.0</v>
      </c>
    </row>
    <row r="37">
      <c r="A37" s="1" t="s">
        <v>22</v>
      </c>
    </row>
    <row r="38">
      <c r="B38" s="3" t="s">
        <v>1</v>
      </c>
      <c r="C38" s="4"/>
      <c r="D38" s="5"/>
      <c r="E38" s="15" t="s">
        <v>2</v>
      </c>
      <c r="F38" s="4"/>
      <c r="G38" s="5"/>
      <c r="H38" s="15" t="s">
        <v>3</v>
      </c>
      <c r="I38" s="4"/>
      <c r="J38" s="5"/>
      <c r="K38" s="15" t="s">
        <v>4</v>
      </c>
      <c r="L38" s="4"/>
      <c r="M38" s="5"/>
    </row>
    <row r="39">
      <c r="B39" s="6" t="s">
        <v>5</v>
      </c>
      <c r="C39" s="7" t="s">
        <v>6</v>
      </c>
      <c r="D39" s="8" t="s">
        <v>7</v>
      </c>
      <c r="E39" s="6" t="s">
        <v>5</v>
      </c>
      <c r="F39" s="7" t="s">
        <v>6</v>
      </c>
      <c r="G39" s="8" t="s">
        <v>7</v>
      </c>
      <c r="H39" s="6" t="s">
        <v>5</v>
      </c>
      <c r="I39" s="7" t="s">
        <v>6</v>
      </c>
      <c r="J39" s="8" t="s">
        <v>7</v>
      </c>
      <c r="K39" s="6" t="s">
        <v>5</v>
      </c>
      <c r="L39" s="7" t="s">
        <v>6</v>
      </c>
      <c r="M39" s="8" t="s">
        <v>7</v>
      </c>
    </row>
    <row r="40">
      <c r="A40" s="13" t="s">
        <v>16</v>
      </c>
      <c r="B40" s="6">
        <f t="shared" ref="B40:B43" si="1">MIN(B32,B16,B24)</f>
        <v>4</v>
      </c>
      <c r="C40" s="7">
        <f t="shared" ref="C40:C43" si="2">SUM(C16,C24,C32)/3</f>
        <v>5.333333333</v>
      </c>
      <c r="D40" s="8">
        <f t="shared" ref="D40:D43" si="3">MAX(D16,D24,D32)</f>
        <v>8</v>
      </c>
      <c r="E40" s="6">
        <f t="shared" ref="E40:E43" si="4">MIN(E32,E16,E24)</f>
        <v>4</v>
      </c>
      <c r="F40" s="7">
        <f t="shared" ref="F40:F43" si="5">SUM(F16,F24,F32)/3</f>
        <v>6.666666667</v>
      </c>
      <c r="G40" s="8">
        <f t="shared" ref="G40:G43" si="6">MAX(G16,G24,G32)</f>
        <v>9</v>
      </c>
      <c r="H40" s="6">
        <f t="shared" ref="H40:H43" si="7">MIN(H32,H16,H24)</f>
        <v>3</v>
      </c>
      <c r="I40" s="7">
        <f t="shared" ref="I40:I43" si="8">SUM(I16,I24,I32)/3</f>
        <v>6</v>
      </c>
      <c r="J40" s="8">
        <f t="shared" ref="J40:J43" si="9">MAX(J16,J24,J32)</f>
        <v>8</v>
      </c>
      <c r="K40" s="6">
        <f t="shared" ref="K40:K43" si="10">MIN(K32,K16,K24)</f>
        <v>3</v>
      </c>
      <c r="L40" s="7">
        <f t="shared" ref="L40:L43" si="11">SUM(L16,L24,L32)/3</f>
        <v>5.666666667</v>
      </c>
      <c r="M40" s="8">
        <f t="shared" ref="M40:M43" si="12">MAX(M16,M24,M32)</f>
        <v>8</v>
      </c>
    </row>
    <row r="41">
      <c r="A41" s="13" t="s">
        <v>17</v>
      </c>
      <c r="B41" s="6">
        <f t="shared" si="1"/>
        <v>2</v>
      </c>
      <c r="C41" s="7">
        <f t="shared" si="2"/>
        <v>5.666666667</v>
      </c>
      <c r="D41" s="8">
        <f t="shared" si="3"/>
        <v>9</v>
      </c>
      <c r="E41" s="6">
        <f t="shared" si="4"/>
        <v>2</v>
      </c>
      <c r="F41" s="7">
        <f t="shared" si="5"/>
        <v>6.333333333</v>
      </c>
      <c r="G41" s="8">
        <f t="shared" si="6"/>
        <v>10</v>
      </c>
      <c r="H41" s="6">
        <f t="shared" si="7"/>
        <v>3</v>
      </c>
      <c r="I41" s="7">
        <f t="shared" si="8"/>
        <v>7</v>
      </c>
      <c r="J41" s="8">
        <f t="shared" si="9"/>
        <v>10</v>
      </c>
      <c r="K41" s="6">
        <f t="shared" si="10"/>
        <v>1</v>
      </c>
      <c r="L41" s="7">
        <f t="shared" si="11"/>
        <v>4.666666667</v>
      </c>
      <c r="M41" s="8">
        <f t="shared" si="12"/>
        <v>9</v>
      </c>
    </row>
    <row r="42">
      <c r="A42" s="13" t="s">
        <v>18</v>
      </c>
      <c r="B42" s="6">
        <f t="shared" si="1"/>
        <v>3</v>
      </c>
      <c r="C42" s="7">
        <f t="shared" si="2"/>
        <v>6.333333333</v>
      </c>
      <c r="D42" s="8">
        <f t="shared" si="3"/>
        <v>9</v>
      </c>
      <c r="E42" s="6">
        <f t="shared" si="4"/>
        <v>2</v>
      </c>
      <c r="F42" s="7">
        <f t="shared" si="5"/>
        <v>4.333333333</v>
      </c>
      <c r="G42" s="8">
        <f t="shared" si="6"/>
        <v>8</v>
      </c>
      <c r="H42" s="6">
        <f t="shared" si="7"/>
        <v>1</v>
      </c>
      <c r="I42" s="7">
        <f t="shared" si="8"/>
        <v>3.333333333</v>
      </c>
      <c r="J42" s="8">
        <f t="shared" si="9"/>
        <v>7</v>
      </c>
      <c r="K42" s="6">
        <f t="shared" si="10"/>
        <v>3</v>
      </c>
      <c r="L42" s="7">
        <f t="shared" si="11"/>
        <v>6.666666667</v>
      </c>
      <c r="M42" s="8">
        <f t="shared" si="12"/>
        <v>9</v>
      </c>
    </row>
    <row r="43">
      <c r="A43" s="1" t="s">
        <v>19</v>
      </c>
      <c r="B43" s="10">
        <f t="shared" si="1"/>
        <v>3</v>
      </c>
      <c r="C43" s="11">
        <f t="shared" si="2"/>
        <v>6.333333333</v>
      </c>
      <c r="D43" s="12">
        <f t="shared" si="3"/>
        <v>10</v>
      </c>
      <c r="E43" s="10">
        <f t="shared" si="4"/>
        <v>1</v>
      </c>
      <c r="F43" s="11">
        <f t="shared" si="5"/>
        <v>3.666666667</v>
      </c>
      <c r="G43" s="12">
        <f t="shared" si="6"/>
        <v>9</v>
      </c>
      <c r="H43" s="10">
        <f t="shared" si="7"/>
        <v>1</v>
      </c>
      <c r="I43" s="11">
        <f t="shared" si="8"/>
        <v>4</v>
      </c>
      <c r="J43" s="12">
        <f t="shared" si="9"/>
        <v>8</v>
      </c>
      <c r="K43" s="10">
        <f t="shared" si="10"/>
        <v>2</v>
      </c>
      <c r="L43" s="11">
        <f t="shared" si="11"/>
        <v>3.333333333</v>
      </c>
      <c r="M43" s="12">
        <f t="shared" si="12"/>
        <v>6</v>
      </c>
    </row>
    <row r="45">
      <c r="A45" s="1" t="s">
        <v>23</v>
      </c>
    </row>
    <row r="46">
      <c r="B46" s="15" t="s">
        <v>1</v>
      </c>
      <c r="C46" s="4"/>
      <c r="D46" s="5"/>
      <c r="E46" s="15" t="s">
        <v>2</v>
      </c>
      <c r="F46" s="4"/>
      <c r="G46" s="5"/>
      <c r="H46" s="15" t="s">
        <v>3</v>
      </c>
      <c r="I46" s="4"/>
      <c r="J46" s="5"/>
      <c r="K46" s="15" t="s">
        <v>4</v>
      </c>
      <c r="L46" s="4"/>
      <c r="M46" s="5"/>
    </row>
    <row r="47">
      <c r="B47" s="17" t="s">
        <v>5</v>
      </c>
      <c r="C47" s="18" t="s">
        <v>6</v>
      </c>
      <c r="D47" s="19" t="s">
        <v>7</v>
      </c>
      <c r="E47" s="6" t="s">
        <v>5</v>
      </c>
      <c r="F47" s="7" t="s">
        <v>6</v>
      </c>
      <c r="G47" s="8" t="s">
        <v>7</v>
      </c>
      <c r="H47" s="17" t="s">
        <v>5</v>
      </c>
      <c r="I47" s="18" t="s">
        <v>6</v>
      </c>
      <c r="J47" s="19" t="s">
        <v>7</v>
      </c>
      <c r="K47" s="17" t="s">
        <v>5</v>
      </c>
      <c r="L47" s="18" t="s">
        <v>6</v>
      </c>
      <c r="M47" s="19" t="s">
        <v>7</v>
      </c>
    </row>
    <row r="48">
      <c r="A48" s="13" t="s">
        <v>16</v>
      </c>
      <c r="B48" s="20">
        <f t="shared" ref="B48:D48" si="13">B40/MAX($D$40:$D$43)</f>
        <v>0.4</v>
      </c>
      <c r="C48" s="2">
        <f t="shared" si="13"/>
        <v>0.5333333333</v>
      </c>
      <c r="D48" s="21">
        <f t="shared" si="13"/>
        <v>0.8</v>
      </c>
      <c r="E48" s="20">
        <f t="shared" ref="E48:G48" si="14">E40/MAX($G$40:$G$43)</f>
        <v>0.4</v>
      </c>
      <c r="F48" s="2">
        <f t="shared" si="14"/>
        <v>0.6666666667</v>
      </c>
      <c r="G48" s="21">
        <f t="shared" si="14"/>
        <v>0.9</v>
      </c>
      <c r="H48" s="20">
        <f t="shared" ref="H48:J48" si="15">H40/MAX($J$40:$J$43)</f>
        <v>0.3</v>
      </c>
      <c r="I48" s="2">
        <f t="shared" si="15"/>
        <v>0.6</v>
      </c>
      <c r="J48" s="21">
        <f t="shared" si="15"/>
        <v>0.8</v>
      </c>
      <c r="K48" s="20">
        <f t="shared" ref="K48:M48" si="16">K40/MAX($M$40:$M$43)</f>
        <v>0.3333333333</v>
      </c>
      <c r="L48" s="2">
        <f t="shared" si="16"/>
        <v>0.6296296296</v>
      </c>
      <c r="M48" s="21">
        <f t="shared" si="16"/>
        <v>0.8888888889</v>
      </c>
    </row>
    <row r="49">
      <c r="A49" s="13" t="s">
        <v>17</v>
      </c>
      <c r="B49" s="20">
        <f t="shared" ref="B49:D49" si="17">B41/MAX($D$40:$D$43)</f>
        <v>0.2</v>
      </c>
      <c r="C49" s="2">
        <f t="shared" si="17"/>
        <v>0.5666666667</v>
      </c>
      <c r="D49" s="21">
        <f t="shared" si="17"/>
        <v>0.9</v>
      </c>
      <c r="E49" s="20">
        <f t="shared" ref="E49:G49" si="18">E41/MAX($G$40:$G$43)</f>
        <v>0.2</v>
      </c>
      <c r="F49" s="2">
        <f t="shared" si="18"/>
        <v>0.6333333333</v>
      </c>
      <c r="G49" s="21">
        <f t="shared" si="18"/>
        <v>1</v>
      </c>
      <c r="H49" s="20">
        <f t="shared" ref="H49:J49" si="19">H41/MAX($J$40:$J$43)</f>
        <v>0.3</v>
      </c>
      <c r="I49" s="2">
        <f t="shared" si="19"/>
        <v>0.7</v>
      </c>
      <c r="J49" s="21">
        <f t="shared" si="19"/>
        <v>1</v>
      </c>
      <c r="K49" s="20">
        <f t="shared" ref="K49:M49" si="20">K41/MAX($M$40:$M$43)</f>
        <v>0.1111111111</v>
      </c>
      <c r="L49" s="2">
        <f t="shared" si="20"/>
        <v>0.5185185185</v>
      </c>
      <c r="M49" s="21">
        <f t="shared" si="20"/>
        <v>1</v>
      </c>
    </row>
    <row r="50">
      <c r="A50" s="13" t="s">
        <v>18</v>
      </c>
      <c r="B50" s="20">
        <f t="shared" ref="B50:D50" si="21">B42/MAX($D$40:$D$43)</f>
        <v>0.3</v>
      </c>
      <c r="C50" s="2">
        <f t="shared" si="21"/>
        <v>0.6333333333</v>
      </c>
      <c r="D50" s="21">
        <f t="shared" si="21"/>
        <v>0.9</v>
      </c>
      <c r="E50" s="20">
        <f t="shared" ref="E50:G50" si="22">E42/MAX($G$40:$G$43)</f>
        <v>0.2</v>
      </c>
      <c r="F50" s="2">
        <f t="shared" si="22"/>
        <v>0.4333333333</v>
      </c>
      <c r="G50" s="21">
        <f t="shared" si="22"/>
        <v>0.8</v>
      </c>
      <c r="H50" s="20">
        <f t="shared" ref="H50:J50" si="23">H42/MAX($J$40:$J$43)</f>
        <v>0.1</v>
      </c>
      <c r="I50" s="2">
        <f t="shared" si="23"/>
        <v>0.3333333333</v>
      </c>
      <c r="J50" s="21">
        <f t="shared" si="23"/>
        <v>0.7</v>
      </c>
      <c r="K50" s="20">
        <f t="shared" ref="K50:M50" si="24">K42/MAX($M$40:$M$43)</f>
        <v>0.3333333333</v>
      </c>
      <c r="L50" s="2">
        <f t="shared" si="24"/>
        <v>0.7407407407</v>
      </c>
      <c r="M50" s="21">
        <f t="shared" si="24"/>
        <v>1</v>
      </c>
    </row>
    <row r="51">
      <c r="A51" s="1" t="s">
        <v>19</v>
      </c>
      <c r="B51" s="22">
        <f t="shared" ref="B51:D51" si="25">B43/MAX($D$40:$D$43)</f>
        <v>0.3</v>
      </c>
      <c r="C51" s="23">
        <f t="shared" si="25"/>
        <v>0.6333333333</v>
      </c>
      <c r="D51" s="24">
        <f t="shared" si="25"/>
        <v>1</v>
      </c>
      <c r="E51" s="22">
        <f t="shared" ref="E51:G51" si="26">E43/MAX($G$40:$G$43)</f>
        <v>0.1</v>
      </c>
      <c r="F51" s="23">
        <f t="shared" si="26"/>
        <v>0.3666666667</v>
      </c>
      <c r="G51" s="24">
        <f t="shared" si="26"/>
        <v>0.9</v>
      </c>
      <c r="H51" s="22">
        <f t="shared" ref="H51:J51" si="27">H43/MAX($J$40:$J$43)</f>
        <v>0.1</v>
      </c>
      <c r="I51" s="23">
        <f t="shared" si="27"/>
        <v>0.4</v>
      </c>
      <c r="J51" s="24">
        <f t="shared" si="27"/>
        <v>0.8</v>
      </c>
      <c r="K51" s="22">
        <f t="shared" ref="K51:M51" si="28">K43/MAX($M$40:$M$43)</f>
        <v>0.2222222222</v>
      </c>
      <c r="L51" s="23">
        <f t="shared" si="28"/>
        <v>0.3703703704</v>
      </c>
      <c r="M51" s="24">
        <f t="shared" si="28"/>
        <v>0.6666666667</v>
      </c>
    </row>
    <row r="53">
      <c r="A53" s="1" t="s">
        <v>24</v>
      </c>
    </row>
    <row r="54">
      <c r="B54" s="3" t="s">
        <v>1</v>
      </c>
      <c r="C54" s="4"/>
      <c r="D54" s="5"/>
      <c r="E54" s="15" t="s">
        <v>2</v>
      </c>
      <c r="F54" s="4"/>
      <c r="G54" s="4"/>
      <c r="H54" s="3" t="s">
        <v>3</v>
      </c>
      <c r="I54" s="4"/>
      <c r="J54" s="5"/>
      <c r="K54" s="15" t="s">
        <v>4</v>
      </c>
      <c r="L54" s="4"/>
      <c r="M54" s="5"/>
    </row>
    <row r="55">
      <c r="B55" s="17" t="s">
        <v>5</v>
      </c>
      <c r="C55" s="18" t="s">
        <v>6</v>
      </c>
      <c r="D55" s="18" t="s">
        <v>7</v>
      </c>
      <c r="E55" s="17" t="s">
        <v>5</v>
      </c>
      <c r="F55" s="18" t="s">
        <v>6</v>
      </c>
      <c r="G55" s="18" t="s">
        <v>7</v>
      </c>
      <c r="H55" s="17" t="s">
        <v>5</v>
      </c>
      <c r="I55" s="18" t="s">
        <v>6</v>
      </c>
      <c r="J55" s="18" t="s">
        <v>7</v>
      </c>
      <c r="K55" s="17" t="s">
        <v>5</v>
      </c>
      <c r="L55" s="18" t="s">
        <v>6</v>
      </c>
      <c r="M55" s="19" t="s">
        <v>7</v>
      </c>
    </row>
    <row r="56">
      <c r="A56" s="13" t="s">
        <v>16</v>
      </c>
      <c r="B56" s="20">
        <f t="shared" ref="B56:M56" si="29">B48*B$11</f>
        <v>0.8</v>
      </c>
      <c r="C56" s="2">
        <f t="shared" si="29"/>
        <v>3.377777778</v>
      </c>
      <c r="D56" s="2">
        <f t="shared" si="29"/>
        <v>7.2</v>
      </c>
      <c r="E56" s="20">
        <f t="shared" si="29"/>
        <v>0.4</v>
      </c>
      <c r="F56" s="2">
        <f t="shared" si="29"/>
        <v>2.888888889</v>
      </c>
      <c r="G56" s="2">
        <f t="shared" si="29"/>
        <v>5.4</v>
      </c>
      <c r="H56" s="20">
        <f t="shared" si="29"/>
        <v>0.3</v>
      </c>
      <c r="I56" s="2">
        <f t="shared" si="29"/>
        <v>3.4</v>
      </c>
      <c r="J56" s="2">
        <f t="shared" si="29"/>
        <v>8</v>
      </c>
      <c r="K56" s="20">
        <f t="shared" si="29"/>
        <v>0.6666666667</v>
      </c>
      <c r="L56" s="2">
        <f t="shared" si="29"/>
        <v>3.777777778</v>
      </c>
      <c r="M56" s="21">
        <f t="shared" si="29"/>
        <v>8</v>
      </c>
    </row>
    <row r="57">
      <c r="A57" s="13" t="s">
        <v>17</v>
      </c>
      <c r="B57" s="20">
        <f t="shared" ref="B57:M57" si="30">B49*B$11</f>
        <v>0.4</v>
      </c>
      <c r="C57" s="2">
        <f t="shared" si="30"/>
        <v>3.588888889</v>
      </c>
      <c r="D57" s="2">
        <f t="shared" si="30"/>
        <v>8.1</v>
      </c>
      <c r="E57" s="20">
        <f t="shared" si="30"/>
        <v>0.2</v>
      </c>
      <c r="F57" s="2">
        <f t="shared" si="30"/>
        <v>2.744444444</v>
      </c>
      <c r="G57" s="2">
        <f t="shared" si="30"/>
        <v>6</v>
      </c>
      <c r="H57" s="20">
        <f t="shared" si="30"/>
        <v>0.3</v>
      </c>
      <c r="I57" s="2">
        <f t="shared" si="30"/>
        <v>3.966666667</v>
      </c>
      <c r="J57" s="2">
        <f t="shared" si="30"/>
        <v>10</v>
      </c>
      <c r="K57" s="20">
        <f t="shared" si="30"/>
        <v>0.2222222222</v>
      </c>
      <c r="L57" s="2">
        <f t="shared" si="30"/>
        <v>3.111111111</v>
      </c>
      <c r="M57" s="21">
        <f t="shared" si="30"/>
        <v>9</v>
      </c>
    </row>
    <row r="58">
      <c r="A58" s="13" t="s">
        <v>18</v>
      </c>
      <c r="B58" s="20">
        <f t="shared" ref="B58:M58" si="31">B50*B$11</f>
        <v>0.6</v>
      </c>
      <c r="C58" s="2">
        <f t="shared" si="31"/>
        <v>4.011111111</v>
      </c>
      <c r="D58" s="2">
        <f t="shared" si="31"/>
        <v>8.1</v>
      </c>
      <c r="E58" s="20">
        <f t="shared" si="31"/>
        <v>0.2</v>
      </c>
      <c r="F58" s="2">
        <f t="shared" si="31"/>
        <v>1.877777778</v>
      </c>
      <c r="G58" s="2">
        <f t="shared" si="31"/>
        <v>4.8</v>
      </c>
      <c r="H58" s="20">
        <f t="shared" si="31"/>
        <v>0.1</v>
      </c>
      <c r="I58" s="2">
        <f t="shared" si="31"/>
        <v>1.888888889</v>
      </c>
      <c r="J58" s="2">
        <f t="shared" si="31"/>
        <v>7</v>
      </c>
      <c r="K58" s="20">
        <f t="shared" si="31"/>
        <v>0.6666666667</v>
      </c>
      <c r="L58" s="2">
        <f t="shared" si="31"/>
        <v>4.444444444</v>
      </c>
      <c r="M58" s="21">
        <f t="shared" si="31"/>
        <v>9</v>
      </c>
    </row>
    <row r="59">
      <c r="A59" s="1" t="s">
        <v>19</v>
      </c>
      <c r="B59" s="20">
        <f t="shared" ref="B59:M59" si="32">B51*B$11</f>
        <v>0.6</v>
      </c>
      <c r="C59" s="2">
        <f t="shared" si="32"/>
        <v>4.011111111</v>
      </c>
      <c r="D59" s="2">
        <f t="shared" si="32"/>
        <v>9</v>
      </c>
      <c r="E59" s="20">
        <f t="shared" si="32"/>
        <v>0.1</v>
      </c>
      <c r="F59" s="2">
        <f t="shared" si="32"/>
        <v>1.588888889</v>
      </c>
      <c r="G59" s="2">
        <f t="shared" si="32"/>
        <v>5.4</v>
      </c>
      <c r="H59" s="20">
        <f t="shared" si="32"/>
        <v>0.1</v>
      </c>
      <c r="I59" s="2">
        <f t="shared" si="32"/>
        <v>2.266666667</v>
      </c>
      <c r="J59" s="2">
        <f t="shared" si="32"/>
        <v>8</v>
      </c>
      <c r="K59" s="20">
        <f t="shared" si="32"/>
        <v>0.4444444444</v>
      </c>
      <c r="L59" s="2">
        <f t="shared" si="32"/>
        <v>2.222222222</v>
      </c>
      <c r="M59" s="21">
        <f t="shared" si="32"/>
        <v>6</v>
      </c>
    </row>
    <row r="60">
      <c r="A60" s="1" t="s">
        <v>25</v>
      </c>
      <c r="B60" s="20">
        <f t="shared" ref="B60:M60" si="33">MAX(B56:B59)</f>
        <v>0.8</v>
      </c>
      <c r="C60" s="2">
        <f t="shared" si="33"/>
        <v>4.011111111</v>
      </c>
      <c r="D60" s="2">
        <f t="shared" si="33"/>
        <v>9</v>
      </c>
      <c r="E60" s="20">
        <f t="shared" si="33"/>
        <v>0.4</v>
      </c>
      <c r="F60" s="2">
        <f t="shared" si="33"/>
        <v>2.888888889</v>
      </c>
      <c r="G60" s="2">
        <f t="shared" si="33"/>
        <v>6</v>
      </c>
      <c r="H60" s="20">
        <f t="shared" si="33"/>
        <v>0.3</v>
      </c>
      <c r="I60" s="2">
        <f t="shared" si="33"/>
        <v>3.966666667</v>
      </c>
      <c r="J60" s="2">
        <f t="shared" si="33"/>
        <v>10</v>
      </c>
      <c r="K60" s="20">
        <f t="shared" si="33"/>
        <v>0.6666666667</v>
      </c>
      <c r="L60" s="2">
        <f t="shared" si="33"/>
        <v>4.444444444</v>
      </c>
      <c r="M60" s="21">
        <f t="shared" si="33"/>
        <v>9</v>
      </c>
    </row>
    <row r="61">
      <c r="A61" s="1" t="s">
        <v>26</v>
      </c>
      <c r="B61" s="22">
        <f t="shared" ref="B61:M61" si="34">MIN(B56:B59)</f>
        <v>0.4</v>
      </c>
      <c r="C61" s="23">
        <f t="shared" si="34"/>
        <v>3.377777778</v>
      </c>
      <c r="D61" s="23">
        <f t="shared" si="34"/>
        <v>7.2</v>
      </c>
      <c r="E61" s="22">
        <f t="shared" si="34"/>
        <v>0.1</v>
      </c>
      <c r="F61" s="23">
        <f t="shared" si="34"/>
        <v>1.588888889</v>
      </c>
      <c r="G61" s="23">
        <f t="shared" si="34"/>
        <v>4.8</v>
      </c>
      <c r="H61" s="22">
        <f t="shared" si="34"/>
        <v>0.1</v>
      </c>
      <c r="I61" s="23">
        <f t="shared" si="34"/>
        <v>1.888888889</v>
      </c>
      <c r="J61" s="23">
        <f t="shared" si="34"/>
        <v>7</v>
      </c>
      <c r="K61" s="22">
        <f t="shared" si="34"/>
        <v>0.2222222222</v>
      </c>
      <c r="L61" s="23">
        <f t="shared" si="34"/>
        <v>2.222222222</v>
      </c>
      <c r="M61" s="24">
        <f t="shared" si="34"/>
        <v>6</v>
      </c>
    </row>
    <row r="63">
      <c r="A63" s="1" t="s">
        <v>27</v>
      </c>
    </row>
    <row r="64">
      <c r="B64" s="3" t="s">
        <v>1</v>
      </c>
      <c r="C64" s="5"/>
      <c r="D64" s="3" t="s">
        <v>2</v>
      </c>
      <c r="E64" s="5"/>
      <c r="F64" s="3" t="s">
        <v>3</v>
      </c>
      <c r="G64" s="5"/>
      <c r="H64" s="3" t="s">
        <v>4</v>
      </c>
      <c r="I64" s="5"/>
      <c r="J64" s="2"/>
      <c r="K64" s="2"/>
      <c r="L64" s="2"/>
      <c r="M64" s="2"/>
    </row>
    <row r="65">
      <c r="B65" s="17" t="s">
        <v>28</v>
      </c>
      <c r="C65" s="18" t="s">
        <v>29</v>
      </c>
      <c r="D65" s="17" t="s">
        <v>28</v>
      </c>
      <c r="E65" s="18" t="s">
        <v>29</v>
      </c>
      <c r="F65" s="17" t="s">
        <v>28</v>
      </c>
      <c r="G65" s="19" t="s">
        <v>29</v>
      </c>
      <c r="H65" s="17" t="s">
        <v>28</v>
      </c>
      <c r="I65" s="19" t="s">
        <v>29</v>
      </c>
      <c r="J65" s="18" t="s">
        <v>30</v>
      </c>
      <c r="K65" s="19" t="s">
        <v>31</v>
      </c>
      <c r="L65" s="18" t="s">
        <v>32</v>
      </c>
      <c r="M65" s="19" t="s">
        <v>33</v>
      </c>
    </row>
    <row r="66">
      <c r="A66" s="13" t="s">
        <v>16</v>
      </c>
      <c r="B66" s="20">
        <f t="shared" ref="B66:B69" si="36">SQRT(1/3*((B56-B$60)^2+(C56-C$60)^2+(D56-D$60)^2))</f>
        <v>1.101682215</v>
      </c>
      <c r="C66" s="2">
        <f t="shared" ref="C66:C69" si="37">SQRT(1/3*((B56-B$61)^2+(C56-C$61)^2+(D56-D$61)^2))</f>
        <v>0.2309401077</v>
      </c>
      <c r="D66" s="20">
        <f t="shared" ref="D66:D69" si="38">SQRT(1/3*((E56-E$60)^2+(F56-F$60)^2+(G56-G$60)^2))</f>
        <v>0.3464101615</v>
      </c>
      <c r="E66" s="2">
        <f t="shared" ref="E66:E69" si="39">SQRT(1/3*((E56-E$61)^2+(F56-F$61)^2+(G56-G$61)^2))</f>
        <v>0.8445906306</v>
      </c>
      <c r="F66" s="20">
        <f t="shared" ref="F66:F69" si="40">SQRT(1/3*((H56-H$60)^2+(I56-I$60)^2+(J56-J$60)^2))</f>
        <v>1.200154311</v>
      </c>
      <c r="G66" s="21">
        <f t="shared" ref="G66:G69" si="41">SQRT(1/3*((H56-H$61)^2+(I56-I$61)^2+(J56-J$61)^2))</f>
        <v>1.052529776</v>
      </c>
      <c r="H66" s="20">
        <f t="shared" ref="H66:H69" si="42">SQRT(1/3*((K56-K$60)^2+(L56-L$60)^2+(M56-M$60)^2))</f>
        <v>0.6938886665</v>
      </c>
      <c r="I66" s="21">
        <f t="shared" ref="I66:I69" si="43">SQRT(1/3*((K56-K$61)^2+(L56-L$61)^2+(M56-M$61)^2))</f>
        <v>1.485180567</v>
      </c>
      <c r="J66" s="2">
        <f t="shared" ref="J66:K66" si="35">SUM(H66,F66,D66,B66)</f>
        <v>3.342135354</v>
      </c>
      <c r="K66" s="21">
        <f t="shared" si="35"/>
        <v>3.613241082</v>
      </c>
      <c r="L66" s="2">
        <f t="shared" ref="L66:L69" si="45">K66/(J66+K66)</f>
        <v>0.5194889328</v>
      </c>
      <c r="M66" s="8">
        <v>2.0</v>
      </c>
    </row>
    <row r="67">
      <c r="A67" s="13" t="s">
        <v>17</v>
      </c>
      <c r="B67" s="20">
        <f t="shared" si="36"/>
        <v>0.6186737441</v>
      </c>
      <c r="C67" s="2">
        <f t="shared" si="37"/>
        <v>0.5337189964</v>
      </c>
      <c r="D67" s="20">
        <f t="shared" si="38"/>
        <v>0.1424361817</v>
      </c>
      <c r="E67" s="2">
        <f t="shared" si="39"/>
        <v>0.9635539497</v>
      </c>
      <c r="F67" s="20">
        <f t="shared" si="40"/>
        <v>0</v>
      </c>
      <c r="G67" s="21">
        <f t="shared" si="41"/>
        <v>2.110067968</v>
      </c>
      <c r="H67" s="20">
        <f t="shared" si="42"/>
        <v>0.8114408259</v>
      </c>
      <c r="I67" s="21">
        <f t="shared" si="43"/>
        <v>1.806481244</v>
      </c>
      <c r="J67" s="2">
        <f t="shared" ref="J67:K67" si="44">SUM(H67,F67,D67,B67)</f>
        <v>1.572550752</v>
      </c>
      <c r="K67" s="21">
        <f t="shared" si="44"/>
        <v>5.413822159</v>
      </c>
      <c r="L67" s="2">
        <f t="shared" si="45"/>
        <v>0.7749117071</v>
      </c>
      <c r="M67" s="8">
        <v>1.0</v>
      </c>
    </row>
    <row r="68">
      <c r="A68" s="13" t="s">
        <v>18</v>
      </c>
      <c r="B68" s="20">
        <f t="shared" si="36"/>
        <v>0.5322906474</v>
      </c>
      <c r="C68" s="2">
        <f t="shared" si="37"/>
        <v>0.6457840483</v>
      </c>
      <c r="D68" s="20">
        <f t="shared" si="38"/>
        <v>0.9132990892</v>
      </c>
      <c r="E68" s="2">
        <f t="shared" si="39"/>
        <v>0.1765000379</v>
      </c>
      <c r="F68" s="20">
        <f t="shared" si="40"/>
        <v>2.110067968</v>
      </c>
      <c r="G68" s="21">
        <f t="shared" si="41"/>
        <v>0</v>
      </c>
      <c r="H68" s="20">
        <f t="shared" si="42"/>
        <v>0</v>
      </c>
      <c r="I68" s="21">
        <f t="shared" si="43"/>
        <v>2.170699002</v>
      </c>
      <c r="J68" s="2">
        <f t="shared" ref="J68:K68" si="46">SUM(H68,F68,D68,B68)</f>
        <v>3.555657705</v>
      </c>
      <c r="K68" s="21">
        <f t="shared" si="46"/>
        <v>2.992983088</v>
      </c>
      <c r="L68" s="2">
        <f t="shared" si="45"/>
        <v>0.4570388242</v>
      </c>
      <c r="M68" s="8">
        <v>3.0</v>
      </c>
    </row>
    <row r="69">
      <c r="A69" s="1" t="s">
        <v>19</v>
      </c>
      <c r="B69" s="22">
        <f t="shared" si="36"/>
        <v>0.1154700538</v>
      </c>
      <c r="C69" s="23">
        <f t="shared" si="37"/>
        <v>1.107717038</v>
      </c>
      <c r="D69" s="22">
        <f t="shared" si="38"/>
        <v>0.8445906306</v>
      </c>
      <c r="E69" s="23">
        <f t="shared" si="39"/>
        <v>0.3464101615</v>
      </c>
      <c r="F69" s="22">
        <f t="shared" si="40"/>
        <v>1.519868415</v>
      </c>
      <c r="G69" s="24">
        <f t="shared" si="41"/>
        <v>0.6171752991</v>
      </c>
      <c r="H69" s="22">
        <f t="shared" si="42"/>
        <v>2.1592942</v>
      </c>
      <c r="I69" s="24">
        <f t="shared" si="43"/>
        <v>0.1283000598</v>
      </c>
      <c r="J69" s="23">
        <f t="shared" ref="J69:K69" si="47">SUM(H69,F69,D69,B69)</f>
        <v>4.639223299</v>
      </c>
      <c r="K69" s="24">
        <f t="shared" si="47"/>
        <v>2.199602559</v>
      </c>
      <c r="L69" s="23">
        <f t="shared" si="45"/>
        <v>0.3216345326</v>
      </c>
      <c r="M69" s="12">
        <v>4.0</v>
      </c>
    </row>
  </sheetData>
  <mergeCells count="33">
    <mergeCell ref="B2:D2"/>
    <mergeCell ref="E2:G2"/>
    <mergeCell ref="H2:J2"/>
    <mergeCell ref="K2:M2"/>
    <mergeCell ref="E9:G9"/>
    <mergeCell ref="H9:J9"/>
    <mergeCell ref="K9:M9"/>
    <mergeCell ref="B9:D9"/>
    <mergeCell ref="B14:D14"/>
    <mergeCell ref="E14:G14"/>
    <mergeCell ref="H14:J14"/>
    <mergeCell ref="K14:M14"/>
    <mergeCell ref="B22:D22"/>
    <mergeCell ref="B30:D30"/>
    <mergeCell ref="K30:M30"/>
    <mergeCell ref="E30:G30"/>
    <mergeCell ref="H30:J30"/>
    <mergeCell ref="B38:D38"/>
    <mergeCell ref="E38:G38"/>
    <mergeCell ref="H38:J38"/>
    <mergeCell ref="K38:M38"/>
    <mergeCell ref="B46:D46"/>
    <mergeCell ref="K46:M46"/>
    <mergeCell ref="D64:E64"/>
    <mergeCell ref="F64:G64"/>
    <mergeCell ref="E46:G46"/>
    <mergeCell ref="H46:J46"/>
    <mergeCell ref="B54:D54"/>
    <mergeCell ref="E54:G54"/>
    <mergeCell ref="H54:J54"/>
    <mergeCell ref="K54:M54"/>
    <mergeCell ref="B64:C64"/>
    <mergeCell ref="H64:I64"/>
  </mergeCells>
  <drawing r:id="rId1"/>
</worksheet>
</file>