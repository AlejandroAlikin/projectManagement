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<sst xmlns="http://schemas.openxmlformats.org/spreadsheetml/2006/main" count="333" uniqueCount="46">
  <si>
    <t>Таблицы значимости весов</t>
  </si>
  <si>
    <t>Э1</t>
  </si>
  <si>
    <t>Оценки экспертов по весам</t>
  </si>
  <si>
    <t>К1</t>
  </si>
  <si>
    <t>К2</t>
  </si>
  <si>
    <t>К3</t>
  </si>
  <si>
    <t>К4</t>
  </si>
  <si>
    <t>Э2</t>
  </si>
  <si>
    <t>Э3</t>
  </si>
  <si>
    <t>Неупокоев Дмитрий</t>
  </si>
  <si>
    <t>Аликин Александр</t>
  </si>
  <si>
    <t>Грибков Никита</t>
  </si>
  <si>
    <t>Агрегированная таблица значимости весов</t>
  </si>
  <si>
    <t>Локальные приоритеты</t>
  </si>
  <si>
    <t>Веса</t>
  </si>
  <si>
    <t>К1 - Актуальность</t>
  </si>
  <si>
    <t>К2 - Простота реализации</t>
  </si>
  <si>
    <t>K3 - Экономичность разработки</t>
  </si>
  <si>
    <t>К4 - Возможность дальнейшего развития</t>
  </si>
  <si>
    <t>Сумма</t>
  </si>
  <si>
    <t>А1 - Платформа для обмена навыками</t>
  </si>
  <si>
    <t>А2 - Агрегатор студенческих скидок</t>
  </si>
  <si>
    <t>А3 - Веб-сервис "Бронирование переговорок и аудиторий"</t>
  </si>
  <si>
    <t xml:space="preserve">А4 - Запись на муниципальные услуги
</t>
  </si>
  <si>
    <t>Произведение</t>
  </si>
  <si>
    <t>ИС</t>
  </si>
  <si>
    <t>ИС/М(ио)</t>
  </si>
  <si>
    <t>Проверка согласованности</t>
  </si>
  <si>
    <t>Критерий</t>
  </si>
  <si>
    <t>Меньше 0,1?</t>
  </si>
  <si>
    <t>Таблицы оценки альтернатив по К1</t>
  </si>
  <si>
    <t>Оценки экспертов по К1</t>
  </si>
  <si>
    <t>А1</t>
  </si>
  <si>
    <t>А2</t>
  </si>
  <si>
    <t>А3</t>
  </si>
  <si>
    <t>А4</t>
  </si>
  <si>
    <t>Таблицы оценки альтернатив по К2</t>
  </si>
  <si>
    <t>Оценки экспертов по К2</t>
  </si>
  <si>
    <t>Агрегированная таблица оценок</t>
  </si>
  <si>
    <t>Таблицы оценки альтернатив по К3</t>
  </si>
  <si>
    <t>Оценки экспертов по К3</t>
  </si>
  <si>
    <t>Таблицы оценки альтернатив по К4</t>
  </si>
  <si>
    <t>Оценки экспертов по К4</t>
  </si>
  <si>
    <t>Вес</t>
  </si>
  <si>
    <t>Итог</t>
  </si>
  <si>
    <t>Место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</si>
</sst>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S2" s="2" t="s">
        <v>2</v>
      </c>
      <c r="T2" s="3"/>
      <c r="U2" s="3"/>
      <c r="V2" s="3"/>
    </row>
    <row r="3">
      <c r="A3" s="1" t="s">
        <v>1</v>
      </c>
      <c r="B3" s="1" t="s">
        <v>3</v>
      </c>
      <c r="C3" s="1" t="s">
        <v>4</v>
      </c>
      <c r="D3" s="1" t="s">
        <v>5</v>
      </c>
      <c r="E3" s="1" t="s">
        <v>6</v>
      </c>
      <c r="G3" s="1" t="s">
        <v>7</v>
      </c>
      <c r="H3" s="1" t="s">
        <v>3</v>
      </c>
      <c r="I3" s="1" t="s">
        <v>4</v>
      </c>
      <c r="J3" s="1" t="s">
        <v>5</v>
      </c>
      <c r="K3" s="1" t="s">
        <v>6</v>
      </c>
      <c r="M3" s="1" t="s">
        <v>8</v>
      </c>
      <c r="N3" s="1" t="s">
        <v>3</v>
      </c>
      <c r="O3" s="1" t="s">
        <v>4</v>
      </c>
      <c r="P3" s="1" t="s">
        <v>5</v>
      </c>
      <c r="Q3" s="1" t="s">
        <v>6</v>
      </c>
      <c r="S3" s="3"/>
      <c r="T3" s="1" t="s">
        <v>3</v>
      </c>
      <c r="U3" s="1" t="s">
        <v>4</v>
      </c>
      <c r="V3" s="1" t="s">
        <v>5</v>
      </c>
      <c r="W3" s="1" t="s">
        <v>6</v>
      </c>
    </row>
    <row r="4">
      <c r="A4" s="1" t="s">
        <v>3</v>
      </c>
      <c r="B4" s="1">
        <v>1.0</v>
      </c>
      <c r="C4" s="4">
        <f t="shared" ref="C4:E4" si="1">$T4/U4</f>
        <v>1.25</v>
      </c>
      <c r="D4" s="4">
        <f t="shared" si="1"/>
        <v>1.25</v>
      </c>
      <c r="E4" s="4">
        <f t="shared" si="1"/>
        <v>0.8333333333</v>
      </c>
      <c r="G4" s="1" t="s">
        <v>3</v>
      </c>
      <c r="H4" s="1">
        <v>1.0</v>
      </c>
      <c r="I4" s="4">
        <f t="shared" ref="I4:K4" si="2">$T5/U5</f>
        <v>1.4</v>
      </c>
      <c r="J4" s="4">
        <f t="shared" si="2"/>
        <v>1.75</v>
      </c>
      <c r="K4" s="4">
        <f t="shared" si="2"/>
        <v>1</v>
      </c>
      <c r="M4" s="1" t="s">
        <v>3</v>
      </c>
      <c r="N4" s="1">
        <v>1.0</v>
      </c>
      <c r="O4" s="4">
        <f t="shared" ref="O4:Q4" si="3">$T6/U6</f>
        <v>1.75</v>
      </c>
      <c r="P4" s="4">
        <f t="shared" si="3"/>
        <v>0.7777777778</v>
      </c>
      <c r="Q4" s="4">
        <f t="shared" si="3"/>
        <v>3.5</v>
      </c>
      <c r="S4" s="1" t="s">
        <v>1</v>
      </c>
      <c r="T4" s="2">
        <v>5.0</v>
      </c>
      <c r="U4" s="2">
        <v>4.0</v>
      </c>
      <c r="V4" s="2">
        <v>4.0</v>
      </c>
      <c r="W4" s="2">
        <v>6.0</v>
      </c>
      <c r="X4" s="1" t="s">
        <v>9</v>
      </c>
    </row>
    <row r="5">
      <c r="A5" s="1" t="s">
        <v>4</v>
      </c>
      <c r="B5" s="4">
        <f>1/C4</f>
        <v>0.8</v>
      </c>
      <c r="C5" s="1">
        <v>1.0</v>
      </c>
      <c r="D5" s="4">
        <f t="shared" ref="D5:E5" si="4">$U4/V4</f>
        <v>1</v>
      </c>
      <c r="E5" s="4">
        <f t="shared" si="4"/>
        <v>0.6666666667</v>
      </c>
      <c r="G5" s="1" t="s">
        <v>4</v>
      </c>
      <c r="H5" s="4">
        <f>1/I4</f>
        <v>0.7142857143</v>
      </c>
      <c r="I5" s="1">
        <v>1.0</v>
      </c>
      <c r="J5" s="4">
        <f t="shared" ref="J5:K5" si="5">$U5/V5</f>
        <v>1.25</v>
      </c>
      <c r="K5" s="4">
        <f t="shared" si="5"/>
        <v>0.7142857143</v>
      </c>
      <c r="M5" s="1" t="s">
        <v>4</v>
      </c>
      <c r="N5" s="4">
        <f>1/O4</f>
        <v>0.5714285714</v>
      </c>
      <c r="O5" s="1">
        <v>1.0</v>
      </c>
      <c r="P5" s="4">
        <f t="shared" ref="P5:Q5" si="6">$U6/V6</f>
        <v>0.4444444444</v>
      </c>
      <c r="Q5" s="4">
        <f t="shared" si="6"/>
        <v>2</v>
      </c>
      <c r="S5" s="1" t="s">
        <v>7</v>
      </c>
      <c r="T5" s="2">
        <v>7.0</v>
      </c>
      <c r="U5" s="2">
        <v>5.0</v>
      </c>
      <c r="V5" s="2">
        <v>4.0</v>
      </c>
      <c r="W5" s="2">
        <v>7.0</v>
      </c>
      <c r="X5" s="1" t="s">
        <v>10</v>
      </c>
    </row>
    <row r="6">
      <c r="A6" s="1" t="s">
        <v>5</v>
      </c>
      <c r="B6" s="4">
        <f>1/D4</f>
        <v>0.8</v>
      </c>
      <c r="C6" s="4">
        <f>1/D5</f>
        <v>1</v>
      </c>
      <c r="D6" s="1">
        <v>1.0</v>
      </c>
      <c r="E6" s="4">
        <f>V4/W4</f>
        <v>0.6666666667</v>
      </c>
      <c r="G6" s="1" t="s">
        <v>5</v>
      </c>
      <c r="H6" s="4">
        <f>1/J4</f>
        <v>0.5714285714</v>
      </c>
      <c r="I6" s="4">
        <f>1/J5</f>
        <v>0.8</v>
      </c>
      <c r="J6" s="1">
        <v>1.0</v>
      </c>
      <c r="K6" s="4">
        <f>V5/W5</f>
        <v>0.5714285714</v>
      </c>
      <c r="M6" s="1" t="s">
        <v>5</v>
      </c>
      <c r="N6" s="4">
        <f>1/P4</f>
        <v>1.285714286</v>
      </c>
      <c r="O6" s="4">
        <f>1/P5</f>
        <v>2.25</v>
      </c>
      <c r="P6" s="1">
        <v>1.0</v>
      </c>
      <c r="Q6" s="4">
        <f>V6/W6</f>
        <v>4.5</v>
      </c>
      <c r="S6" s="1" t="s">
        <v>8</v>
      </c>
      <c r="T6" s="2">
        <v>7.0</v>
      </c>
      <c r="U6" s="2">
        <v>4.0</v>
      </c>
      <c r="V6" s="2">
        <v>9.0</v>
      </c>
      <c r="W6" s="2">
        <v>2.0</v>
      </c>
      <c r="X6" s="1" t="s">
        <v>11</v>
      </c>
    </row>
    <row r="7">
      <c r="A7" s="1" t="s">
        <v>6</v>
      </c>
      <c r="B7" s="4">
        <f>1/E4</f>
        <v>1.2</v>
      </c>
      <c r="C7" s="4">
        <f>1/E5</f>
        <v>1.5</v>
      </c>
      <c r="D7" s="4">
        <f>1/E6</f>
        <v>1.5</v>
      </c>
      <c r="E7" s="1">
        <v>1.0</v>
      </c>
      <c r="G7" s="1" t="s">
        <v>6</v>
      </c>
      <c r="H7" s="4">
        <f>1/K4</f>
        <v>1</v>
      </c>
      <c r="I7" s="4">
        <f>1/K5</f>
        <v>1.4</v>
      </c>
      <c r="J7" s="4">
        <f>1/K6</f>
        <v>1.75</v>
      </c>
      <c r="K7" s="1">
        <v>1.0</v>
      </c>
      <c r="M7" s="1" t="s">
        <v>6</v>
      </c>
      <c r="N7" s="4">
        <f>1/Q4</f>
        <v>0.2857142857</v>
      </c>
      <c r="O7" s="4">
        <f>1/Q5</f>
        <v>0.5</v>
      </c>
      <c r="P7" s="4">
        <f>1/Q6</f>
        <v>0.2222222222</v>
      </c>
      <c r="Q7" s="1">
        <v>1.0</v>
      </c>
    </row>
    <row r="9">
      <c r="A9" s="1" t="s">
        <v>12</v>
      </c>
    </row>
    <row r="10">
      <c r="A10" s="1"/>
      <c r="B10" s="1" t="s">
        <v>3</v>
      </c>
      <c r="C10" s="1" t="s">
        <v>4</v>
      </c>
      <c r="D10" s="1" t="s">
        <v>5</v>
      </c>
      <c r="E10" s="1" t="s">
        <v>6</v>
      </c>
      <c r="F10" s="5"/>
      <c r="G10" s="5" t="s">
        <v>13</v>
      </c>
      <c r="H10" s="5"/>
      <c r="I10" s="6" t="s">
        <v>14</v>
      </c>
    </row>
    <row r="11">
      <c r="A11" s="1" t="s">
        <v>3</v>
      </c>
      <c r="B11" s="1">
        <f t="shared" ref="B11:E11" si="7">(B4*H4*N4)^(1/3)</f>
        <v>1</v>
      </c>
      <c r="C11" s="1">
        <f t="shared" si="7"/>
        <v>1.452196433</v>
      </c>
      <c r="D11" s="1">
        <f t="shared" si="7"/>
        <v>1.193808126</v>
      </c>
      <c r="E11" s="1">
        <f t="shared" si="7"/>
        <v>1.428769814</v>
      </c>
      <c r="F11" s="5"/>
      <c r="G11" s="3">
        <f t="shared" ref="G11:G14" si="9">(E11*D11*C11*B11)^(1/4)</f>
        <v>1.254528525</v>
      </c>
      <c r="H11" s="5"/>
      <c r="I11" s="3">
        <f t="shared" ref="I11:I14" si="10">G11/G$15</f>
        <v>0.3099650258</v>
      </c>
    </row>
    <row r="12">
      <c r="A12" s="1" t="s">
        <v>4</v>
      </c>
      <c r="B12" s="1">
        <f t="shared" ref="B12:E12" si="8">(B5*H5*N5)^(1/3)</f>
        <v>0.6886120755</v>
      </c>
      <c r="C12" s="1">
        <f t="shared" si="8"/>
        <v>1</v>
      </c>
      <c r="D12" s="1">
        <f t="shared" si="8"/>
        <v>0.8220706914</v>
      </c>
      <c r="E12" s="1">
        <f t="shared" si="8"/>
        <v>0.9838681468</v>
      </c>
      <c r="F12" s="5"/>
      <c r="G12" s="3">
        <f t="shared" si="9"/>
        <v>0.8638834915</v>
      </c>
      <c r="H12" s="5"/>
      <c r="I12" s="3">
        <f t="shared" si="10"/>
        <v>0.2134456597</v>
      </c>
    </row>
    <row r="13">
      <c r="A13" s="1" t="s">
        <v>5</v>
      </c>
      <c r="B13" s="1">
        <f t="shared" ref="B13:E13" si="11">(B6*H6*N6)^(1/3)</f>
        <v>0.8376555479</v>
      </c>
      <c r="C13" s="1">
        <f t="shared" si="11"/>
        <v>1.216440399</v>
      </c>
      <c r="D13" s="1">
        <f t="shared" si="11"/>
        <v>1</v>
      </c>
      <c r="E13" s="1">
        <f t="shared" si="11"/>
        <v>1.196816961</v>
      </c>
      <c r="F13" s="5"/>
      <c r="G13" s="3">
        <f t="shared" si="9"/>
        <v>1.050862779</v>
      </c>
      <c r="H13" s="5"/>
      <c r="I13" s="3">
        <f t="shared" si="10"/>
        <v>0.2596439235</v>
      </c>
    </row>
    <row r="14">
      <c r="A14" s="1" t="s">
        <v>6</v>
      </c>
      <c r="B14" s="1">
        <f t="shared" ref="B14:E14" si="12">(B7*H7*N7)^(1/3)</f>
        <v>0.6999028048</v>
      </c>
      <c r="C14" s="1">
        <f t="shared" si="12"/>
        <v>1.016396357</v>
      </c>
      <c r="D14" s="1">
        <f t="shared" si="12"/>
        <v>0.8355496558</v>
      </c>
      <c r="E14" s="1">
        <f t="shared" si="12"/>
        <v>1</v>
      </c>
      <c r="F14" s="5"/>
      <c r="G14" s="3">
        <f t="shared" si="9"/>
        <v>0.8780480335</v>
      </c>
      <c r="H14" s="5"/>
      <c r="I14" s="3">
        <f t="shared" si="10"/>
        <v>0.2169453909</v>
      </c>
      <c r="N14" s="1" t="s">
        <v>15</v>
      </c>
      <c r="P14" s="1" t="s">
        <v>16</v>
      </c>
      <c r="R14" s="1" t="s">
        <v>17</v>
      </c>
      <c r="T14" s="1" t="s">
        <v>18</v>
      </c>
    </row>
    <row r="15">
      <c r="F15" s="5" t="s">
        <v>19</v>
      </c>
      <c r="G15" s="3">
        <f>SUM(G11:G14)</f>
        <v>4.047322829</v>
      </c>
      <c r="H15" s="5"/>
      <c r="I15" s="3">
        <f>SUM(I11:I14)</f>
        <v>1</v>
      </c>
      <c r="N15" s="1" t="s">
        <v>20</v>
      </c>
      <c r="Q15" s="1" t="s">
        <v>21</v>
      </c>
      <c r="T15" s="1" t="s">
        <v>22</v>
      </c>
      <c r="X15" s="1" t="s">
        <v>23</v>
      </c>
    </row>
    <row r="17">
      <c r="E17" s="1" t="s">
        <v>24</v>
      </c>
      <c r="F17" s="1" t="s">
        <v>25</v>
      </c>
      <c r="G17" s="1" t="s">
        <v>26</v>
      </c>
    </row>
    <row r="18">
      <c r="A18" s="1" t="s">
        <v>27</v>
      </c>
      <c r="D18" s="1"/>
      <c r="E18" s="4">
        <f>B20*I11+B21*I12+B22*I13+B23*I14</f>
        <v>4</v>
      </c>
      <c r="F18" s="4">
        <f>(E18-4)/(4-1)</f>
        <v>0</v>
      </c>
      <c r="G18" s="4">
        <f>F18/0.9</f>
        <v>0</v>
      </c>
    </row>
    <row r="19">
      <c r="A19" s="1" t="s">
        <v>28</v>
      </c>
      <c r="B19" s="1" t="s">
        <v>19</v>
      </c>
      <c r="F19" s="1" t="s">
        <v>29</v>
      </c>
      <c r="G19" s="4" t="b">
        <f>G18&lt;0.1</f>
        <v>1</v>
      </c>
    </row>
    <row r="20">
      <c r="A20" s="1" t="s">
        <v>3</v>
      </c>
      <c r="B20" s="4">
        <f>SUM(B11:B14)</f>
        <v>3.226170428</v>
      </c>
    </row>
    <row r="21">
      <c r="A21" s="1" t="s">
        <v>4</v>
      </c>
      <c r="B21" s="4">
        <f>SUM(C11:C14)</f>
        <v>4.685033189</v>
      </c>
    </row>
    <row r="22">
      <c r="A22" s="1" t="s">
        <v>5</v>
      </c>
      <c r="B22" s="4">
        <f>SUM(D11:D14)</f>
        <v>3.851428473</v>
      </c>
    </row>
    <row r="23">
      <c r="A23" s="1" t="s">
        <v>6</v>
      </c>
      <c r="B23" s="4">
        <f>SUM(E11:E14)</f>
        <v>4.609454922</v>
      </c>
    </row>
    <row r="25">
      <c r="A25" s="1" t="s">
        <v>30</v>
      </c>
    </row>
    <row r="26">
      <c r="A26" s="1" t="s">
        <v>1</v>
      </c>
      <c r="S26" s="2" t="s">
        <v>31</v>
      </c>
      <c r="T26" s="3"/>
      <c r="U26" s="3"/>
      <c r="V26" s="3"/>
    </row>
    <row r="27">
      <c r="A27" s="1" t="s">
        <v>1</v>
      </c>
      <c r="B27" s="1" t="s">
        <v>32</v>
      </c>
      <c r="C27" s="1" t="s">
        <v>33</v>
      </c>
      <c r="D27" s="1" t="s">
        <v>34</v>
      </c>
      <c r="E27" s="1" t="s">
        <v>35</v>
      </c>
      <c r="G27" s="1" t="s">
        <v>7</v>
      </c>
      <c r="H27" s="1" t="s">
        <v>32</v>
      </c>
      <c r="I27" s="1" t="s">
        <v>33</v>
      </c>
      <c r="J27" s="1" t="s">
        <v>34</v>
      </c>
      <c r="K27" s="1" t="s">
        <v>35</v>
      </c>
      <c r="M27" s="1" t="s">
        <v>8</v>
      </c>
      <c r="N27" s="1" t="s">
        <v>32</v>
      </c>
      <c r="O27" s="1" t="s">
        <v>33</v>
      </c>
      <c r="P27" s="1" t="s">
        <v>34</v>
      </c>
      <c r="Q27" s="1" t="s">
        <v>35</v>
      </c>
      <c r="S27" s="3"/>
      <c r="T27" s="1" t="s">
        <v>32</v>
      </c>
      <c r="U27" s="1" t="s">
        <v>33</v>
      </c>
      <c r="V27" s="1" t="s">
        <v>34</v>
      </c>
      <c r="W27" s="1" t="s">
        <v>35</v>
      </c>
    </row>
    <row r="28">
      <c r="A28" s="1" t="s">
        <v>32</v>
      </c>
      <c r="B28" s="1">
        <v>1.0</v>
      </c>
      <c r="C28" s="4">
        <f t="shared" ref="C28:E28" si="13">$T28/U28</f>
        <v>0.8571428571</v>
      </c>
      <c r="D28" s="4">
        <f t="shared" si="13"/>
        <v>1</v>
      </c>
      <c r="E28" s="4">
        <f t="shared" si="13"/>
        <v>1.2</v>
      </c>
      <c r="G28" s="1" t="s">
        <v>32</v>
      </c>
      <c r="H28" s="1">
        <v>1.0</v>
      </c>
      <c r="I28" s="4">
        <f t="shared" ref="I28:K28" si="14">$T29/U29</f>
        <v>0.7142857143</v>
      </c>
      <c r="J28" s="4">
        <f t="shared" si="14"/>
        <v>0.7142857143</v>
      </c>
      <c r="K28" s="4">
        <f t="shared" si="14"/>
        <v>1.25</v>
      </c>
      <c r="M28" s="1" t="s">
        <v>32</v>
      </c>
      <c r="N28" s="1">
        <v>1.0</v>
      </c>
      <c r="O28" s="4">
        <f t="shared" ref="O28:Q28" si="15">$T30/U30</f>
        <v>1.666666667</v>
      </c>
      <c r="P28" s="4">
        <f t="shared" si="15"/>
        <v>0.8333333333</v>
      </c>
      <c r="Q28" s="4">
        <f t="shared" si="15"/>
        <v>0.5</v>
      </c>
      <c r="S28" s="1" t="s">
        <v>1</v>
      </c>
      <c r="T28" s="2">
        <v>6.0</v>
      </c>
      <c r="U28" s="2">
        <v>7.0</v>
      </c>
      <c r="V28" s="2">
        <v>6.0</v>
      </c>
      <c r="W28" s="2">
        <v>5.0</v>
      </c>
      <c r="X28" s="1" t="s">
        <v>9</v>
      </c>
    </row>
    <row r="29">
      <c r="A29" s="1" t="s">
        <v>33</v>
      </c>
      <c r="B29" s="4">
        <f>1/C28</f>
        <v>1.166666667</v>
      </c>
      <c r="C29" s="1">
        <v>1.0</v>
      </c>
      <c r="D29" s="4">
        <f t="shared" ref="D29:E29" si="16">$U28/V28</f>
        <v>1.166666667</v>
      </c>
      <c r="E29" s="4">
        <f t="shared" si="16"/>
        <v>1.4</v>
      </c>
      <c r="G29" s="1" t="s">
        <v>33</v>
      </c>
      <c r="H29" s="4">
        <f>1/I28</f>
        <v>1.4</v>
      </c>
      <c r="I29" s="1">
        <v>1.0</v>
      </c>
      <c r="J29" s="4">
        <f t="shared" ref="J29:K29" si="17">$U29/V29</f>
        <v>1</v>
      </c>
      <c r="K29" s="4">
        <f t="shared" si="17"/>
        <v>1.75</v>
      </c>
      <c r="M29" s="1" t="s">
        <v>33</v>
      </c>
      <c r="N29" s="4">
        <f>1/O28</f>
        <v>0.6</v>
      </c>
      <c r="O29" s="1">
        <v>1.0</v>
      </c>
      <c r="P29" s="4">
        <f t="shared" ref="P29:Q29" si="18">$U30/V30</f>
        <v>0.5</v>
      </c>
      <c r="Q29" s="4">
        <f t="shared" si="18"/>
        <v>0.3</v>
      </c>
      <c r="S29" s="1" t="s">
        <v>7</v>
      </c>
      <c r="T29" s="2">
        <v>5.0</v>
      </c>
      <c r="U29" s="2">
        <v>7.0</v>
      </c>
      <c r="V29" s="2">
        <v>7.0</v>
      </c>
      <c r="W29" s="2">
        <v>4.0</v>
      </c>
      <c r="X29" s="1" t="s">
        <v>10</v>
      </c>
    </row>
    <row r="30">
      <c r="A30" s="1" t="s">
        <v>34</v>
      </c>
      <c r="B30" s="4">
        <f>1/D28</f>
        <v>1</v>
      </c>
      <c r="C30" s="4">
        <f>1/D29</f>
        <v>0.8571428571</v>
      </c>
      <c r="D30" s="1">
        <v>1.0</v>
      </c>
      <c r="E30" s="4">
        <f>V28/W28</f>
        <v>1.2</v>
      </c>
      <c r="G30" s="1" t="s">
        <v>34</v>
      </c>
      <c r="H30" s="4">
        <f>1/J28</f>
        <v>1.4</v>
      </c>
      <c r="I30" s="4">
        <f>1/J29</f>
        <v>1</v>
      </c>
      <c r="J30" s="1">
        <v>1.0</v>
      </c>
      <c r="K30" s="4">
        <f>V29/W29</f>
        <v>1.75</v>
      </c>
      <c r="M30" s="1" t="s">
        <v>34</v>
      </c>
      <c r="N30" s="4">
        <f>1/P28</f>
        <v>1.2</v>
      </c>
      <c r="O30" s="4">
        <f>1/P29</f>
        <v>2</v>
      </c>
      <c r="P30" s="1">
        <v>1.0</v>
      </c>
      <c r="Q30" s="4">
        <f>V30/W30</f>
        <v>0.6</v>
      </c>
      <c r="S30" s="1" t="s">
        <v>8</v>
      </c>
      <c r="T30" s="2">
        <v>5.0</v>
      </c>
      <c r="U30" s="2">
        <v>3.0</v>
      </c>
      <c r="V30" s="2">
        <v>6.0</v>
      </c>
      <c r="W30" s="2">
        <v>10.0</v>
      </c>
      <c r="X30" s="1" t="s">
        <v>11</v>
      </c>
    </row>
    <row r="31">
      <c r="A31" s="1" t="s">
        <v>35</v>
      </c>
      <c r="B31" s="4">
        <f>1/E28</f>
        <v>0.8333333333</v>
      </c>
      <c r="C31" s="4">
        <f>1/E29</f>
        <v>0.7142857143</v>
      </c>
      <c r="D31" s="4">
        <f>1/E30</f>
        <v>0.8333333333</v>
      </c>
      <c r="E31" s="1">
        <v>1.0</v>
      </c>
      <c r="G31" s="1" t="s">
        <v>35</v>
      </c>
      <c r="H31" s="4">
        <f>1/K28</f>
        <v>0.8</v>
      </c>
      <c r="I31" s="4">
        <f>1/K29</f>
        <v>0.5714285714</v>
      </c>
      <c r="J31" s="4">
        <f>1/K30</f>
        <v>0.5714285714</v>
      </c>
      <c r="K31" s="1">
        <v>1.0</v>
      </c>
      <c r="M31" s="1" t="s">
        <v>35</v>
      </c>
      <c r="N31" s="4">
        <f>1/Q28</f>
        <v>2</v>
      </c>
      <c r="O31" s="4">
        <f>1/Q29</f>
        <v>3.333333333</v>
      </c>
      <c r="P31" s="4">
        <f>1/Q30</f>
        <v>1.666666667</v>
      </c>
      <c r="Q31" s="1">
        <v>1.0</v>
      </c>
    </row>
    <row r="33">
      <c r="A33" s="1" t="s">
        <v>12</v>
      </c>
    </row>
    <row r="34">
      <c r="A34" s="1"/>
      <c r="B34" s="1" t="s">
        <v>32</v>
      </c>
      <c r="C34" s="1" t="s">
        <v>33</v>
      </c>
      <c r="D34" s="1" t="s">
        <v>34</v>
      </c>
      <c r="E34" s="1" t="s">
        <v>35</v>
      </c>
      <c r="F34" s="5"/>
      <c r="G34" s="5" t="s">
        <v>13</v>
      </c>
      <c r="H34" s="5"/>
      <c r="I34" s="6" t="s">
        <v>14</v>
      </c>
    </row>
    <row r="35">
      <c r="A35" s="1" t="s">
        <v>32</v>
      </c>
      <c r="B35" s="1">
        <f t="shared" ref="B35:E35" si="19">(B28*H28*N28)^(1/3)</f>
        <v>1</v>
      </c>
      <c r="C35" s="1">
        <f t="shared" si="19"/>
        <v>1.006756962</v>
      </c>
      <c r="D35" s="1">
        <f t="shared" si="19"/>
        <v>0.8411954329</v>
      </c>
      <c r="E35" s="1">
        <f t="shared" si="19"/>
        <v>0.9085602964</v>
      </c>
      <c r="F35" s="5"/>
      <c r="G35" s="3">
        <f t="shared" ref="G35:G38" si="21">(E35*D35*C35*B35)^(1/4)</f>
        <v>0.936577727</v>
      </c>
      <c r="H35" s="5"/>
      <c r="I35" s="3">
        <f t="shared" ref="I35:I38" si="22">G35/$G$39</f>
        <v>0.2334967315</v>
      </c>
    </row>
    <row r="36">
      <c r="A36" s="1" t="s">
        <v>33</v>
      </c>
      <c r="B36" s="1">
        <f t="shared" ref="B36:E36" si="20">(B29*H29*N29)^(1/3)</f>
        <v>0.9932883884</v>
      </c>
      <c r="C36" s="1">
        <f t="shared" si="20"/>
        <v>1</v>
      </c>
      <c r="D36" s="1">
        <f t="shared" si="20"/>
        <v>0.8355496558</v>
      </c>
      <c r="E36" s="1">
        <f t="shared" si="20"/>
        <v>0.9024623926</v>
      </c>
      <c r="F36" s="5"/>
      <c r="G36" s="3">
        <f t="shared" si="21"/>
        <v>0.930291781</v>
      </c>
      <c r="H36" s="5"/>
      <c r="I36" s="3">
        <f t="shared" si="22"/>
        <v>0.2319295921</v>
      </c>
    </row>
    <row r="37">
      <c r="A37" s="1" t="s">
        <v>34</v>
      </c>
      <c r="B37" s="1">
        <f t="shared" ref="B37:E37" si="23">(B30*H30*N30)^(1/3)</f>
        <v>1.188784391</v>
      </c>
      <c r="C37" s="1">
        <f t="shared" si="23"/>
        <v>1.196816961</v>
      </c>
      <c r="D37" s="1">
        <f t="shared" si="23"/>
        <v>1</v>
      </c>
      <c r="E37" s="1">
        <f t="shared" si="23"/>
        <v>1.080082298</v>
      </c>
      <c r="F37" s="5"/>
      <c r="G37" s="3">
        <f t="shared" si="21"/>
        <v>1.113388982</v>
      </c>
      <c r="H37" s="5"/>
      <c r="I37" s="3">
        <f t="shared" si="22"/>
        <v>0.2775772696</v>
      </c>
    </row>
    <row r="38">
      <c r="A38" s="1" t="s">
        <v>35</v>
      </c>
      <c r="B38" s="1">
        <f t="shared" ref="B38:E38" si="24">(B31*H31*N31)^(1/3)</f>
        <v>1.100642416</v>
      </c>
      <c r="C38" s="1">
        <f t="shared" si="24"/>
        <v>1.108079415</v>
      </c>
      <c r="D38" s="1">
        <f t="shared" si="24"/>
        <v>0.9258553738</v>
      </c>
      <c r="E38" s="1">
        <f t="shared" si="24"/>
        <v>1</v>
      </c>
      <c r="F38" s="5"/>
      <c r="G38" s="3">
        <f t="shared" si="21"/>
        <v>1.030837172</v>
      </c>
      <c r="H38" s="5"/>
      <c r="I38" s="3">
        <f t="shared" si="22"/>
        <v>0.2569964067</v>
      </c>
    </row>
    <row r="39">
      <c r="F39" s="5" t="s">
        <v>19</v>
      </c>
      <c r="G39" s="3">
        <f>SUM(G35:G38)</f>
        <v>4.011095663</v>
      </c>
      <c r="H39" s="5"/>
      <c r="I39" s="3">
        <f>SUM(I35:I38)</f>
        <v>1</v>
      </c>
    </row>
    <row r="41">
      <c r="E41" s="1" t="s">
        <v>24</v>
      </c>
      <c r="F41" s="1" t="s">
        <v>25</v>
      </c>
      <c r="G41" s="1" t="s">
        <v>26</v>
      </c>
    </row>
    <row r="42">
      <c r="A42" s="1" t="s">
        <v>27</v>
      </c>
      <c r="D42" s="1"/>
      <c r="E42" s="4">
        <f>B44*I35+B45*I36+B46*I37+B47*I38</f>
        <v>4</v>
      </c>
      <c r="F42" s="4">
        <f>(E42-4)/(4-1)</f>
        <v>0</v>
      </c>
      <c r="G42" s="4">
        <f>F42/0.9</f>
        <v>0</v>
      </c>
    </row>
    <row r="43">
      <c r="A43" s="1" t="s">
        <v>28</v>
      </c>
      <c r="B43" s="1" t="s">
        <v>19</v>
      </c>
      <c r="F43" s="1" t="s">
        <v>29</v>
      </c>
      <c r="G43" s="4" t="b">
        <f>G42&lt;0.1</f>
        <v>1</v>
      </c>
    </row>
    <row r="44">
      <c r="A44" s="1" t="s">
        <v>3</v>
      </c>
      <c r="B44" s="4">
        <f>SUM(B35:B38)</f>
        <v>4.282715195</v>
      </c>
    </row>
    <row r="45">
      <c r="A45" s="1" t="s">
        <v>4</v>
      </c>
      <c r="B45" s="4">
        <f>SUM(C35:C38)</f>
        <v>4.311653338</v>
      </c>
    </row>
    <row r="46">
      <c r="A46" s="1" t="s">
        <v>5</v>
      </c>
      <c r="B46" s="4">
        <f>SUM(D35:D38)</f>
        <v>3.602600463</v>
      </c>
    </row>
    <row r="47">
      <c r="A47" s="1" t="s">
        <v>6</v>
      </c>
      <c r="B47" s="4">
        <f>SUM(E35:E38)</f>
        <v>3.891104987</v>
      </c>
    </row>
    <row r="49">
      <c r="A49" s="1" t="s">
        <v>36</v>
      </c>
      <c r="S49" s="3"/>
      <c r="T49" s="3"/>
      <c r="U49" s="3"/>
      <c r="V49" s="3"/>
    </row>
    <row r="50">
      <c r="A50" s="1" t="s">
        <v>1</v>
      </c>
      <c r="S50" s="2" t="s">
        <v>37</v>
      </c>
      <c r="T50" s="3"/>
      <c r="U50" s="3"/>
      <c r="V50" s="3"/>
    </row>
    <row r="51">
      <c r="A51" s="1" t="s">
        <v>1</v>
      </c>
      <c r="B51" s="1" t="s">
        <v>32</v>
      </c>
      <c r="C51" s="1" t="s">
        <v>33</v>
      </c>
      <c r="D51" s="1" t="s">
        <v>34</v>
      </c>
      <c r="E51" s="1" t="s">
        <v>35</v>
      </c>
      <c r="G51" s="1" t="s">
        <v>7</v>
      </c>
      <c r="H51" s="1" t="s">
        <v>32</v>
      </c>
      <c r="I51" s="1" t="s">
        <v>33</v>
      </c>
      <c r="J51" s="1" t="s">
        <v>34</v>
      </c>
      <c r="K51" s="1" t="s">
        <v>35</v>
      </c>
      <c r="M51" s="1" t="s">
        <v>8</v>
      </c>
      <c r="N51" s="1" t="s">
        <v>32</v>
      </c>
      <c r="O51" s="1" t="s">
        <v>33</v>
      </c>
      <c r="P51" s="1" t="s">
        <v>34</v>
      </c>
      <c r="Q51" s="1" t="s">
        <v>35</v>
      </c>
      <c r="S51" s="3"/>
      <c r="T51" s="1" t="s">
        <v>32</v>
      </c>
      <c r="U51" s="1" t="s">
        <v>33</v>
      </c>
      <c r="V51" s="1" t="s">
        <v>34</v>
      </c>
      <c r="W51" s="1" t="s">
        <v>35</v>
      </c>
    </row>
    <row r="52">
      <c r="A52" s="1" t="s">
        <v>32</v>
      </c>
      <c r="B52" s="1">
        <v>1.0</v>
      </c>
      <c r="C52" s="4">
        <f t="shared" ref="C52:E52" si="25">$T52/U52</f>
        <v>1.166666667</v>
      </c>
      <c r="D52" s="4">
        <f t="shared" si="25"/>
        <v>1.75</v>
      </c>
      <c r="E52" s="4">
        <f t="shared" si="25"/>
        <v>2.333333333</v>
      </c>
      <c r="G52" s="1" t="s">
        <v>32</v>
      </c>
      <c r="H52" s="1">
        <v>1.0</v>
      </c>
      <c r="I52" s="4">
        <f t="shared" ref="I52:K52" si="26">$T53/U53</f>
        <v>1.75</v>
      </c>
      <c r="J52" s="4">
        <f t="shared" si="26"/>
        <v>1.166666667</v>
      </c>
      <c r="K52" s="4">
        <f t="shared" si="26"/>
        <v>1</v>
      </c>
      <c r="M52" s="1" t="s">
        <v>32</v>
      </c>
      <c r="N52" s="1">
        <v>1.0</v>
      </c>
      <c r="O52" s="4">
        <f t="shared" ref="O52:Q52" si="27">$T54/U54</f>
        <v>0.6666666667</v>
      </c>
      <c r="P52" s="4">
        <f t="shared" si="27"/>
        <v>2</v>
      </c>
      <c r="Q52" s="4">
        <f t="shared" si="27"/>
        <v>6</v>
      </c>
      <c r="S52" s="1" t="s">
        <v>1</v>
      </c>
      <c r="T52" s="2">
        <v>7.0</v>
      </c>
      <c r="U52" s="2">
        <v>6.0</v>
      </c>
      <c r="V52" s="2">
        <v>4.0</v>
      </c>
      <c r="W52" s="2">
        <v>3.0</v>
      </c>
      <c r="X52" s="1" t="s">
        <v>9</v>
      </c>
    </row>
    <row r="53">
      <c r="A53" s="1" t="s">
        <v>33</v>
      </c>
      <c r="B53" s="4">
        <f>1/C52</f>
        <v>0.8571428571</v>
      </c>
      <c r="C53" s="1">
        <v>1.0</v>
      </c>
      <c r="D53" s="4">
        <f t="shared" ref="D53:E53" si="28">$U52/V52</f>
        <v>1.5</v>
      </c>
      <c r="E53" s="4">
        <f t="shared" si="28"/>
        <v>2</v>
      </c>
      <c r="G53" s="1" t="s">
        <v>33</v>
      </c>
      <c r="H53" s="4">
        <f>1/I52</f>
        <v>0.5714285714</v>
      </c>
      <c r="I53" s="1">
        <v>1.0</v>
      </c>
      <c r="J53" s="4">
        <f t="shared" ref="J53:K53" si="29">$U53/V53</f>
        <v>0.6666666667</v>
      </c>
      <c r="K53" s="4">
        <f t="shared" si="29"/>
        <v>0.5714285714</v>
      </c>
      <c r="M53" s="1" t="s">
        <v>33</v>
      </c>
      <c r="N53" s="4">
        <f>1/O52</f>
        <v>1.5</v>
      </c>
      <c r="O53" s="1">
        <v>1.0</v>
      </c>
      <c r="P53" s="4">
        <f t="shared" ref="P53:Q53" si="30">$U54/V54</f>
        <v>3</v>
      </c>
      <c r="Q53" s="4">
        <f t="shared" si="30"/>
        <v>9</v>
      </c>
      <c r="S53" s="1" t="s">
        <v>7</v>
      </c>
      <c r="T53" s="2">
        <v>7.0</v>
      </c>
      <c r="U53" s="2">
        <v>4.0</v>
      </c>
      <c r="V53" s="2">
        <v>6.0</v>
      </c>
      <c r="W53" s="2">
        <v>7.0</v>
      </c>
      <c r="X53" s="1" t="s">
        <v>10</v>
      </c>
    </row>
    <row r="54">
      <c r="A54" s="1" t="s">
        <v>34</v>
      </c>
      <c r="B54" s="4">
        <f>1/D52</f>
        <v>0.5714285714</v>
      </c>
      <c r="C54" s="4">
        <f>1/D53</f>
        <v>0.6666666667</v>
      </c>
      <c r="D54" s="1">
        <v>1.0</v>
      </c>
      <c r="E54" s="4">
        <f>V52/W52</f>
        <v>1.333333333</v>
      </c>
      <c r="G54" s="1" t="s">
        <v>34</v>
      </c>
      <c r="H54" s="4">
        <f>1/J52</f>
        <v>0.8571428571</v>
      </c>
      <c r="I54" s="4">
        <f>1/J53</f>
        <v>1.5</v>
      </c>
      <c r="J54" s="1">
        <v>1.0</v>
      </c>
      <c r="K54" s="4">
        <f>V53/W53</f>
        <v>0.8571428571</v>
      </c>
      <c r="M54" s="1" t="s">
        <v>34</v>
      </c>
      <c r="N54" s="4">
        <f>1/P52</f>
        <v>0.5</v>
      </c>
      <c r="O54" s="4">
        <f>1/P53</f>
        <v>0.3333333333</v>
      </c>
      <c r="P54" s="1">
        <v>1.0</v>
      </c>
      <c r="Q54" s="4">
        <f>V54/W54</f>
        <v>3</v>
      </c>
      <c r="S54" s="1" t="s">
        <v>8</v>
      </c>
      <c r="T54" s="2">
        <v>6.0</v>
      </c>
      <c r="U54" s="2">
        <v>9.0</v>
      </c>
      <c r="V54" s="2">
        <v>3.0</v>
      </c>
      <c r="W54" s="2">
        <v>1.0</v>
      </c>
      <c r="X54" s="1" t="s">
        <v>11</v>
      </c>
    </row>
    <row r="55">
      <c r="A55" s="1" t="s">
        <v>35</v>
      </c>
      <c r="B55" s="4">
        <f>1/E52</f>
        <v>0.4285714286</v>
      </c>
      <c r="C55" s="4">
        <f>1/E53</f>
        <v>0.5</v>
      </c>
      <c r="D55" s="4">
        <f>1/E54</f>
        <v>0.75</v>
      </c>
      <c r="E55" s="1">
        <v>1.0</v>
      </c>
      <c r="G55" s="1" t="s">
        <v>35</v>
      </c>
      <c r="H55" s="4">
        <f>1/K52</f>
        <v>1</v>
      </c>
      <c r="I55" s="4">
        <f>1/K53</f>
        <v>1.75</v>
      </c>
      <c r="J55" s="4">
        <f>1/K54</f>
        <v>1.166666667</v>
      </c>
      <c r="K55" s="1">
        <v>1.0</v>
      </c>
      <c r="M55" s="1" t="s">
        <v>35</v>
      </c>
      <c r="N55" s="4">
        <f>1/Q52</f>
        <v>0.1666666667</v>
      </c>
      <c r="O55" s="4">
        <f>1/Q53</f>
        <v>0.1111111111</v>
      </c>
      <c r="P55" s="4">
        <f>1/Q54</f>
        <v>0.3333333333</v>
      </c>
      <c r="Q55" s="1">
        <v>1.0</v>
      </c>
    </row>
    <row r="57">
      <c r="A57" s="1" t="s">
        <v>38</v>
      </c>
    </row>
    <row r="58">
      <c r="A58" s="1"/>
      <c r="B58" s="1" t="s">
        <v>32</v>
      </c>
      <c r="C58" s="1" t="s">
        <v>33</v>
      </c>
      <c r="D58" s="1" t="s">
        <v>34</v>
      </c>
      <c r="E58" s="1" t="s">
        <v>35</v>
      </c>
      <c r="F58" s="5"/>
      <c r="G58" s="5" t="s">
        <v>13</v>
      </c>
      <c r="H58" s="5"/>
      <c r="I58" s="6" t="s">
        <v>14</v>
      </c>
    </row>
    <row r="59">
      <c r="A59" s="1" t="s">
        <v>32</v>
      </c>
      <c r="B59" s="1">
        <f t="shared" ref="B59:E59" si="31">(B52*H52*N52)^(1/3)</f>
        <v>1</v>
      </c>
      <c r="C59" s="1">
        <f t="shared" si="31"/>
        <v>1.108233294</v>
      </c>
      <c r="D59" s="1">
        <f t="shared" si="31"/>
        <v>1.598348991</v>
      </c>
      <c r="E59" s="1">
        <f t="shared" si="31"/>
        <v>2.410142264</v>
      </c>
      <c r="F59" s="5"/>
      <c r="G59" s="3">
        <f t="shared" ref="G59:G62" si="33">(E59*D59*C59*B59)^(1/4)</f>
        <v>1.437428895</v>
      </c>
      <c r="H59" s="5"/>
      <c r="I59" s="3">
        <f t="shared" ref="I59:I62" si="34">G59/$G$63</f>
        <v>0.3398013451</v>
      </c>
    </row>
    <row r="60">
      <c r="A60" s="1" t="s">
        <v>33</v>
      </c>
      <c r="B60" s="1">
        <f t="shared" ref="B60:E60" si="32">(B53*H53*N53)^(1/3)</f>
        <v>0.9023370854</v>
      </c>
      <c r="C60" s="1">
        <f t="shared" si="32"/>
        <v>1</v>
      </c>
      <c r="D60" s="1">
        <f t="shared" si="32"/>
        <v>1.44224957</v>
      </c>
      <c r="E60" s="1">
        <f t="shared" si="32"/>
        <v>2.174760746</v>
      </c>
      <c r="F60" s="5"/>
      <c r="G60" s="3">
        <f t="shared" si="33"/>
        <v>1.2970454</v>
      </c>
      <c r="H60" s="5"/>
      <c r="I60" s="3">
        <f t="shared" si="34"/>
        <v>0.3066153553</v>
      </c>
    </row>
    <row r="61">
      <c r="A61" s="1" t="s">
        <v>34</v>
      </c>
      <c r="B61" s="1">
        <f t="shared" ref="B61:E61" si="35">(B54*H54*N54)^(1/3)</f>
        <v>0.6256455914</v>
      </c>
      <c r="C61" s="1">
        <f t="shared" si="35"/>
        <v>0.6933612744</v>
      </c>
      <c r="D61" s="1">
        <f t="shared" si="35"/>
        <v>1</v>
      </c>
      <c r="E61" s="1">
        <f t="shared" si="35"/>
        <v>1.507894882</v>
      </c>
      <c r="F61" s="5"/>
      <c r="G61" s="3">
        <f t="shared" si="33"/>
        <v>0.8993210511</v>
      </c>
      <c r="H61" s="5"/>
      <c r="I61" s="3">
        <f t="shared" si="34"/>
        <v>0.2125952135</v>
      </c>
    </row>
    <row r="62">
      <c r="A62" s="1" t="s">
        <v>35</v>
      </c>
      <c r="B62" s="1">
        <f t="shared" ref="B62:E62" si="36">(B55*H55*N55)^(1/3)</f>
        <v>0.4149132667</v>
      </c>
      <c r="C62" s="1">
        <f t="shared" si="36"/>
        <v>0.4598206961</v>
      </c>
      <c r="D62" s="1">
        <f t="shared" si="36"/>
        <v>0.6631762013</v>
      </c>
      <c r="E62" s="1">
        <f t="shared" si="36"/>
        <v>1</v>
      </c>
      <c r="F62" s="5"/>
      <c r="G62" s="3">
        <f t="shared" si="33"/>
        <v>0.5964083185</v>
      </c>
      <c r="H62" s="5"/>
      <c r="I62" s="3">
        <f t="shared" si="34"/>
        <v>0.1409880861</v>
      </c>
    </row>
    <row r="63">
      <c r="F63" s="5" t="s">
        <v>19</v>
      </c>
      <c r="G63" s="3">
        <f>SUM(G59:G62)</f>
        <v>4.230203664</v>
      </c>
      <c r="H63" s="5"/>
      <c r="I63" s="3">
        <f>SUM(I59:I62)</f>
        <v>1</v>
      </c>
    </row>
    <row r="65">
      <c r="E65" s="1" t="s">
        <v>24</v>
      </c>
      <c r="F65" s="1" t="s">
        <v>25</v>
      </c>
      <c r="G65" s="1" t="s">
        <v>26</v>
      </c>
    </row>
    <row r="66">
      <c r="A66" s="1" t="s">
        <v>27</v>
      </c>
      <c r="D66" s="1"/>
      <c r="E66" s="4">
        <f>B68*I59+B69*I60+B70*I61+B71*I62</f>
        <v>4</v>
      </c>
      <c r="F66" s="4">
        <f>(E66-4)/(4-1)</f>
        <v>0</v>
      </c>
      <c r="G66" s="4">
        <f>F66/0.9</f>
        <v>0</v>
      </c>
    </row>
    <row r="67">
      <c r="A67" s="1" t="s">
        <v>28</v>
      </c>
      <c r="B67" s="1" t="s">
        <v>19</v>
      </c>
      <c r="F67" s="1" t="s">
        <v>29</v>
      </c>
      <c r="G67" s="4" t="b">
        <f>G66&lt;0.1</f>
        <v>1</v>
      </c>
    </row>
    <row r="68">
      <c r="A68" s="1" t="s">
        <v>3</v>
      </c>
      <c r="B68" s="4">
        <f>SUM(B59:B62)</f>
        <v>2.942895943</v>
      </c>
    </row>
    <row r="69">
      <c r="A69" s="1" t="s">
        <v>4</v>
      </c>
      <c r="B69" s="4">
        <f>SUM(C59:C62)</f>
        <v>3.261415264</v>
      </c>
    </row>
    <row r="70">
      <c r="A70" s="1" t="s">
        <v>5</v>
      </c>
      <c r="B70" s="4">
        <f>SUM(D59:D62)</f>
        <v>4.703774763</v>
      </c>
    </row>
    <row r="71">
      <c r="A71" s="1" t="s">
        <v>6</v>
      </c>
      <c r="B71" s="4">
        <f>SUM(E59:E62)</f>
        <v>7.092797892</v>
      </c>
    </row>
    <row r="73">
      <c r="A73" s="7" t="s">
        <v>39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>
      <c r="A74" s="7" t="s">
        <v>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S74" s="2" t="s">
        <v>40</v>
      </c>
      <c r="T74" s="3"/>
      <c r="U74" s="3"/>
      <c r="V74" s="3"/>
    </row>
    <row r="75">
      <c r="A75" s="7" t="s">
        <v>1</v>
      </c>
      <c r="B75" s="7" t="s">
        <v>32</v>
      </c>
      <c r="C75" s="7" t="s">
        <v>33</v>
      </c>
      <c r="D75" s="7" t="s">
        <v>34</v>
      </c>
      <c r="E75" s="7" t="s">
        <v>35</v>
      </c>
      <c r="F75" s="5"/>
      <c r="G75" s="7" t="s">
        <v>7</v>
      </c>
      <c r="H75" s="7" t="s">
        <v>32</v>
      </c>
      <c r="I75" s="7" t="s">
        <v>33</v>
      </c>
      <c r="J75" s="7" t="s">
        <v>34</v>
      </c>
      <c r="K75" s="7" t="s">
        <v>35</v>
      </c>
      <c r="L75" s="5"/>
      <c r="M75" s="7" t="s">
        <v>8</v>
      </c>
      <c r="N75" s="7" t="s">
        <v>32</v>
      </c>
      <c r="O75" s="7" t="s">
        <v>33</v>
      </c>
      <c r="P75" s="7" t="s">
        <v>34</v>
      </c>
      <c r="Q75" s="7" t="s">
        <v>35</v>
      </c>
      <c r="S75" s="3"/>
      <c r="T75" s="1" t="s">
        <v>32</v>
      </c>
      <c r="U75" s="1" t="s">
        <v>33</v>
      </c>
      <c r="V75" s="1" t="s">
        <v>34</v>
      </c>
      <c r="W75" s="1" t="s">
        <v>35</v>
      </c>
    </row>
    <row r="76">
      <c r="A76" s="7" t="s">
        <v>32</v>
      </c>
      <c r="B76" s="8">
        <v>1.0</v>
      </c>
      <c r="C76" s="3">
        <f t="shared" ref="C76:E76" si="37">($T76/U76)^2</f>
        <v>1.361111111</v>
      </c>
      <c r="D76" s="3">
        <f t="shared" si="37"/>
        <v>1.96</v>
      </c>
      <c r="E76" s="3">
        <f t="shared" si="37"/>
        <v>1.96</v>
      </c>
      <c r="F76" s="5"/>
      <c r="G76" s="7" t="s">
        <v>32</v>
      </c>
      <c r="H76" s="8">
        <v>1.0</v>
      </c>
      <c r="I76" s="3">
        <f t="shared" ref="I76:K76" si="38">($T77/U77)^2</f>
        <v>1.96</v>
      </c>
      <c r="J76" s="3">
        <f t="shared" si="38"/>
        <v>3.0625</v>
      </c>
      <c r="K76" s="3">
        <f t="shared" si="38"/>
        <v>1.361111111</v>
      </c>
      <c r="L76" s="5"/>
      <c r="M76" s="7" t="s">
        <v>32</v>
      </c>
      <c r="N76" s="8">
        <v>1.0</v>
      </c>
      <c r="O76" s="3">
        <f t="shared" ref="O76:Q76" si="39">($T78/U78)^2</f>
        <v>0.16</v>
      </c>
      <c r="P76" s="3">
        <f t="shared" si="39"/>
        <v>16</v>
      </c>
      <c r="Q76" s="3">
        <f t="shared" si="39"/>
        <v>16</v>
      </c>
      <c r="S76" s="1" t="s">
        <v>1</v>
      </c>
      <c r="T76" s="2">
        <v>7.0</v>
      </c>
      <c r="U76" s="2">
        <v>6.0</v>
      </c>
      <c r="V76" s="2">
        <v>5.0</v>
      </c>
      <c r="W76" s="2">
        <v>5.0</v>
      </c>
      <c r="X76" s="1" t="s">
        <v>9</v>
      </c>
    </row>
    <row r="77">
      <c r="A77" s="7" t="s">
        <v>33</v>
      </c>
      <c r="B77" s="3">
        <f>1/C76</f>
        <v>0.7346938776</v>
      </c>
      <c r="C77" s="8">
        <v>1.0</v>
      </c>
      <c r="D77" s="3">
        <f t="shared" ref="D77:E77" si="40">($U76/V76)^2</f>
        <v>1.44</v>
      </c>
      <c r="E77" s="3">
        <f t="shared" si="40"/>
        <v>1.44</v>
      </c>
      <c r="F77" s="5"/>
      <c r="G77" s="7" t="s">
        <v>33</v>
      </c>
      <c r="H77" s="3">
        <f>1/I76</f>
        <v>0.5102040816</v>
      </c>
      <c r="I77" s="8">
        <v>1.0</v>
      </c>
      <c r="J77" s="3">
        <f>($U77/V77)^2</f>
        <v>1.5625</v>
      </c>
      <c r="K77" s="3">
        <f>(($U77/W77)^2)^2</f>
        <v>0.4822530864</v>
      </c>
      <c r="L77" s="5"/>
      <c r="M77" s="7" t="s">
        <v>33</v>
      </c>
      <c r="N77" s="3">
        <f>1/O76</f>
        <v>6.25</v>
      </c>
      <c r="O77" s="8">
        <v>1.0</v>
      </c>
      <c r="P77" s="3">
        <f t="shared" ref="P77:Q77" si="41">($U78/V78)^2</f>
        <v>100</v>
      </c>
      <c r="Q77" s="3">
        <f t="shared" si="41"/>
        <v>100</v>
      </c>
      <c r="S77" s="1" t="s">
        <v>7</v>
      </c>
      <c r="T77" s="2">
        <v>7.0</v>
      </c>
      <c r="U77" s="2">
        <v>5.0</v>
      </c>
      <c r="V77" s="2">
        <v>4.0</v>
      </c>
      <c r="W77" s="2">
        <v>6.0</v>
      </c>
      <c r="X77" s="1" t="s">
        <v>10</v>
      </c>
    </row>
    <row r="78">
      <c r="A78" s="7" t="s">
        <v>34</v>
      </c>
      <c r="B78" s="3">
        <f>1/D76</f>
        <v>0.5102040816</v>
      </c>
      <c r="C78" s="3">
        <f>1/D77</f>
        <v>0.6944444444</v>
      </c>
      <c r="D78" s="8">
        <v>1.0</v>
      </c>
      <c r="E78" s="3">
        <f>(V76/W76)^2</f>
        <v>1</v>
      </c>
      <c r="F78" s="5"/>
      <c r="G78" s="7" t="s">
        <v>34</v>
      </c>
      <c r="H78" s="3">
        <f>1/J76</f>
        <v>0.3265306122</v>
      </c>
      <c r="I78" s="3">
        <f>1/J77</f>
        <v>0.64</v>
      </c>
      <c r="J78" s="8">
        <v>1.0</v>
      </c>
      <c r="K78" s="3">
        <f>(V77/W77)^2</f>
        <v>0.4444444444</v>
      </c>
      <c r="L78" s="5"/>
      <c r="M78" s="7" t="s">
        <v>34</v>
      </c>
      <c r="N78" s="3">
        <f>1/P76</f>
        <v>0.0625</v>
      </c>
      <c r="O78" s="3">
        <f>1/P77</f>
        <v>0.01</v>
      </c>
      <c r="P78" s="8">
        <v>1.0</v>
      </c>
      <c r="Q78" s="3">
        <f>(V78/W78)^2</f>
        <v>1</v>
      </c>
      <c r="S78" s="1" t="s">
        <v>8</v>
      </c>
      <c r="T78" s="2">
        <v>4.0</v>
      </c>
      <c r="U78" s="2">
        <v>10.0</v>
      </c>
      <c r="V78" s="2">
        <v>1.0</v>
      </c>
      <c r="W78" s="2">
        <v>1.0</v>
      </c>
      <c r="X78" s="1" t="s">
        <v>11</v>
      </c>
    </row>
    <row r="79">
      <c r="A79" s="7" t="s">
        <v>35</v>
      </c>
      <c r="B79" s="3">
        <f>1/E76</f>
        <v>0.5102040816</v>
      </c>
      <c r="C79" s="3">
        <f>1/E77</f>
        <v>0.6944444444</v>
      </c>
      <c r="D79" s="3">
        <f>1/E78</f>
        <v>1</v>
      </c>
      <c r="E79" s="8">
        <v>1.0</v>
      </c>
      <c r="F79" s="5"/>
      <c r="G79" s="7" t="s">
        <v>35</v>
      </c>
      <c r="H79" s="3">
        <f>1/K76</f>
        <v>0.7346938776</v>
      </c>
      <c r="I79" s="3">
        <f>1/K77</f>
        <v>2.0736</v>
      </c>
      <c r="J79" s="3">
        <f>1/K78</f>
        <v>2.25</v>
      </c>
      <c r="K79" s="8">
        <v>1.0</v>
      </c>
      <c r="L79" s="5"/>
      <c r="M79" s="7" t="s">
        <v>35</v>
      </c>
      <c r="N79" s="3">
        <f>1/Q76</f>
        <v>0.0625</v>
      </c>
      <c r="O79" s="3">
        <f>1/Q77</f>
        <v>0.01</v>
      </c>
      <c r="P79" s="3">
        <f>1/Q78</f>
        <v>1</v>
      </c>
      <c r="Q79" s="8">
        <v>1.0</v>
      </c>
    </row>
    <row r="81">
      <c r="A81" s="1" t="s">
        <v>12</v>
      </c>
    </row>
    <row r="82">
      <c r="A82" s="1"/>
      <c r="B82" s="1" t="s">
        <v>32</v>
      </c>
      <c r="C82" s="1" t="s">
        <v>33</v>
      </c>
      <c r="D82" s="1" t="s">
        <v>34</v>
      </c>
      <c r="E82" s="1" t="s">
        <v>35</v>
      </c>
      <c r="F82" s="5"/>
      <c r="G82" s="5" t="s">
        <v>13</v>
      </c>
      <c r="H82" s="5"/>
      <c r="I82" s="6" t="s">
        <v>14</v>
      </c>
    </row>
    <row r="83">
      <c r="A83" s="1" t="s">
        <v>32</v>
      </c>
      <c r="B83" s="1">
        <f t="shared" ref="B83:E83" si="42">(B76*H76*N76)^(1/3)</f>
        <v>1</v>
      </c>
      <c r="C83" s="1">
        <f t="shared" si="42"/>
        <v>0.7529333681</v>
      </c>
      <c r="D83" s="1">
        <f t="shared" si="42"/>
        <v>4.579492834</v>
      </c>
      <c r="E83" s="1">
        <f t="shared" si="42"/>
        <v>3.494807114</v>
      </c>
      <c r="F83" s="5"/>
      <c r="G83" s="3">
        <f t="shared" ref="G83:G86" si="44">(E83*D83*C83*B83)^(1/4)</f>
        <v>1.863156281</v>
      </c>
      <c r="H83" s="5"/>
      <c r="I83" s="3">
        <f t="shared" ref="I83:I86" si="45">G83/$G$87</f>
        <v>0.3569236445</v>
      </c>
    </row>
    <row r="84">
      <c r="A84" s="1" t="s">
        <v>33</v>
      </c>
      <c r="B84" s="1">
        <f t="shared" ref="B84:E84" si="43">(B77*H77*N77)^(1/3)</f>
        <v>1.328138773</v>
      </c>
      <c r="C84" s="1">
        <f t="shared" si="43"/>
        <v>1</v>
      </c>
      <c r="D84" s="1">
        <f t="shared" si="43"/>
        <v>6.082201996</v>
      </c>
      <c r="E84" s="1">
        <f t="shared" si="43"/>
        <v>4.110353457</v>
      </c>
      <c r="F84" s="5"/>
      <c r="G84" s="3">
        <f t="shared" si="44"/>
        <v>2.400467697</v>
      </c>
      <c r="H84" s="5"/>
      <c r="I84" s="3">
        <f t="shared" si="45"/>
        <v>0.4598560452</v>
      </c>
    </row>
    <row r="85">
      <c r="A85" s="1" t="s">
        <v>34</v>
      </c>
      <c r="B85" s="1">
        <f t="shared" ref="B85:E85" si="46">(B78*H78*N78)^(1/3)</f>
        <v>0.218364792</v>
      </c>
      <c r="C85" s="1">
        <f t="shared" si="46"/>
        <v>0.1644141383</v>
      </c>
      <c r="D85" s="1">
        <f t="shared" si="46"/>
        <v>1</v>
      </c>
      <c r="E85" s="1">
        <f t="shared" si="46"/>
        <v>0.7631428284</v>
      </c>
      <c r="F85" s="5"/>
      <c r="G85" s="3">
        <f t="shared" si="44"/>
        <v>0.4068477336</v>
      </c>
      <c r="H85" s="5"/>
      <c r="I85" s="3">
        <f t="shared" si="45"/>
        <v>0.07793955737</v>
      </c>
    </row>
    <row r="86">
      <c r="A86" s="1" t="s">
        <v>35</v>
      </c>
      <c r="B86" s="1">
        <f t="shared" ref="B86:E86" si="47">(B79*H79*N79)^(1/3)</f>
        <v>0.2861388247</v>
      </c>
      <c r="C86" s="1">
        <f t="shared" si="47"/>
        <v>0.2432880798</v>
      </c>
      <c r="D86" s="1">
        <f t="shared" si="47"/>
        <v>1.310370697</v>
      </c>
      <c r="E86" s="1">
        <f t="shared" si="47"/>
        <v>1</v>
      </c>
      <c r="F86" s="5"/>
      <c r="G86" s="3">
        <f t="shared" si="44"/>
        <v>0.5495699123</v>
      </c>
      <c r="H86" s="5"/>
      <c r="I86" s="3">
        <f t="shared" si="45"/>
        <v>0.1052807529</v>
      </c>
    </row>
    <row r="87">
      <c r="F87" s="5" t="s">
        <v>19</v>
      </c>
      <c r="G87" s="3">
        <f>SUM(G83:G86)</f>
        <v>5.220041624</v>
      </c>
      <c r="H87" s="5"/>
      <c r="I87" s="3">
        <f>SUM(I83:I86)</f>
        <v>1</v>
      </c>
    </row>
    <row r="89">
      <c r="E89" s="1" t="s">
        <v>24</v>
      </c>
      <c r="F89" s="1" t="s">
        <v>25</v>
      </c>
      <c r="G89" s="1" t="s">
        <v>26</v>
      </c>
    </row>
    <row r="90">
      <c r="A90" s="1" t="s">
        <v>27</v>
      </c>
      <c r="D90" s="1"/>
      <c r="E90" s="4">
        <f>B92*I83+B93*I84+B94*I85+B95*I86</f>
        <v>4.001957462</v>
      </c>
      <c r="F90" s="4">
        <f>(E90-4)/(4-1)</f>
        <v>0.0006524873132</v>
      </c>
      <c r="G90" s="4">
        <f>F90/0.9</f>
        <v>0.0007249859035</v>
      </c>
    </row>
    <row r="91">
      <c r="A91" s="1" t="s">
        <v>28</v>
      </c>
      <c r="B91" s="1" t="s">
        <v>19</v>
      </c>
      <c r="F91" s="1" t="s">
        <v>29</v>
      </c>
      <c r="G91" s="4" t="b">
        <f>G90&lt;0.1</f>
        <v>1</v>
      </c>
    </row>
    <row r="92">
      <c r="A92" s="1" t="s">
        <v>3</v>
      </c>
      <c r="B92" s="4">
        <f>SUM(B83:B86)</f>
        <v>2.83264239</v>
      </c>
    </row>
    <row r="93">
      <c r="A93" s="1" t="s">
        <v>4</v>
      </c>
      <c r="B93" s="4">
        <f>SUM(C83:C86)</f>
        <v>2.160635586</v>
      </c>
    </row>
    <row r="94">
      <c r="A94" s="1" t="s">
        <v>5</v>
      </c>
      <c r="B94" s="4">
        <f>SUM(D83:D86)</f>
        <v>12.97206553</v>
      </c>
    </row>
    <row r="95">
      <c r="A95" s="1" t="s">
        <v>6</v>
      </c>
      <c r="B95" s="4">
        <f>SUM(E83:E86)</f>
        <v>9.3683034</v>
      </c>
    </row>
    <row r="97">
      <c r="A97" s="1" t="s">
        <v>41</v>
      </c>
      <c r="S97" s="2" t="s">
        <v>42</v>
      </c>
      <c r="T97" s="3"/>
      <c r="U97" s="3"/>
      <c r="V97" s="3"/>
    </row>
    <row r="98">
      <c r="A98" s="1" t="s">
        <v>1</v>
      </c>
      <c r="B98" s="1" t="s">
        <v>32</v>
      </c>
      <c r="C98" s="1" t="s">
        <v>33</v>
      </c>
      <c r="D98" s="1" t="s">
        <v>34</v>
      </c>
      <c r="E98" s="1" t="s">
        <v>35</v>
      </c>
      <c r="G98" s="1" t="s">
        <v>7</v>
      </c>
      <c r="H98" s="1" t="s">
        <v>32</v>
      </c>
      <c r="I98" s="1" t="s">
        <v>33</v>
      </c>
      <c r="J98" s="1" t="s">
        <v>34</v>
      </c>
      <c r="K98" s="1" t="s">
        <v>35</v>
      </c>
      <c r="M98" s="1" t="s">
        <v>8</v>
      </c>
      <c r="N98" s="1" t="s">
        <v>32</v>
      </c>
      <c r="O98" s="1" t="s">
        <v>33</v>
      </c>
      <c r="P98" s="1" t="s">
        <v>34</v>
      </c>
      <c r="Q98" s="1" t="s">
        <v>35</v>
      </c>
      <c r="S98" s="3"/>
      <c r="T98" s="1" t="s">
        <v>32</v>
      </c>
      <c r="U98" s="1" t="s">
        <v>33</v>
      </c>
      <c r="V98" s="1" t="s">
        <v>34</v>
      </c>
      <c r="W98" s="1" t="s">
        <v>35</v>
      </c>
    </row>
    <row r="99">
      <c r="A99" s="1" t="s">
        <v>32</v>
      </c>
      <c r="B99" s="1">
        <v>1.0</v>
      </c>
      <c r="C99" s="4">
        <f t="shared" ref="C99:E99" si="48">$T99/U99</f>
        <v>1.2</v>
      </c>
      <c r="D99" s="4">
        <f t="shared" si="48"/>
        <v>1</v>
      </c>
      <c r="E99" s="4">
        <f t="shared" si="48"/>
        <v>1.5</v>
      </c>
      <c r="G99" s="1" t="s">
        <v>32</v>
      </c>
      <c r="H99" s="1">
        <v>1.0</v>
      </c>
      <c r="I99" s="4">
        <f t="shared" ref="I99:K99" si="49">$T100/U100</f>
        <v>0.5714285714</v>
      </c>
      <c r="J99" s="4">
        <f t="shared" si="49"/>
        <v>0.8</v>
      </c>
      <c r="K99" s="4">
        <f t="shared" si="49"/>
        <v>1.333333333</v>
      </c>
      <c r="M99" s="1" t="s">
        <v>32</v>
      </c>
      <c r="N99" s="1">
        <v>1.0</v>
      </c>
      <c r="O99" s="4">
        <f t="shared" ref="O99:Q99" si="50">$T101/U101</f>
        <v>3.5</v>
      </c>
      <c r="P99" s="4">
        <f t="shared" si="50"/>
        <v>0.7777777778</v>
      </c>
      <c r="Q99" s="4">
        <f t="shared" si="50"/>
        <v>2.333333333</v>
      </c>
      <c r="S99" s="1" t="s">
        <v>1</v>
      </c>
      <c r="T99" s="2">
        <v>6.0</v>
      </c>
      <c r="U99" s="2">
        <v>5.0</v>
      </c>
      <c r="V99" s="2">
        <v>6.0</v>
      </c>
      <c r="W99" s="2">
        <v>4.0</v>
      </c>
      <c r="X99" s="1" t="s">
        <v>9</v>
      </c>
    </row>
    <row r="100">
      <c r="A100" s="1" t="s">
        <v>33</v>
      </c>
      <c r="B100" s="4">
        <f>1/C99</f>
        <v>0.8333333333</v>
      </c>
      <c r="C100" s="1">
        <v>1.0</v>
      </c>
      <c r="D100" s="4">
        <f t="shared" ref="D100:E100" si="51">$U99/V99</f>
        <v>0.8333333333</v>
      </c>
      <c r="E100" s="4">
        <f t="shared" si="51"/>
        <v>1.25</v>
      </c>
      <c r="G100" s="1" t="s">
        <v>33</v>
      </c>
      <c r="H100" s="4">
        <f>1/I99</f>
        <v>1.75</v>
      </c>
      <c r="I100" s="1">
        <v>1.0</v>
      </c>
      <c r="J100" s="4">
        <f t="shared" ref="J100:K100" si="52">$U100/V100</f>
        <v>1.4</v>
      </c>
      <c r="K100" s="4">
        <f t="shared" si="52"/>
        <v>2.333333333</v>
      </c>
      <c r="M100" s="1" t="s">
        <v>33</v>
      </c>
      <c r="N100" s="4">
        <f>1/O99</f>
        <v>0.2857142857</v>
      </c>
      <c r="O100" s="1">
        <v>1.0</v>
      </c>
      <c r="P100" s="4">
        <f t="shared" ref="P100:Q100" si="53">$U101/V101</f>
        <v>0.2222222222</v>
      </c>
      <c r="Q100" s="4">
        <f t="shared" si="53"/>
        <v>0.6666666667</v>
      </c>
      <c r="S100" s="1" t="s">
        <v>7</v>
      </c>
      <c r="T100" s="2">
        <v>4.0</v>
      </c>
      <c r="U100" s="2">
        <v>7.0</v>
      </c>
      <c r="V100" s="2">
        <v>5.0</v>
      </c>
      <c r="W100" s="2">
        <v>3.0</v>
      </c>
      <c r="X100" s="1" t="s">
        <v>10</v>
      </c>
    </row>
    <row r="101">
      <c r="A101" s="1" t="s">
        <v>34</v>
      </c>
      <c r="B101" s="4">
        <f>1/D99</f>
        <v>1</v>
      </c>
      <c r="C101" s="4">
        <f>1/D100</f>
        <v>1.2</v>
      </c>
      <c r="D101" s="1">
        <v>1.0</v>
      </c>
      <c r="E101" s="4">
        <f>V99/W99</f>
        <v>1.5</v>
      </c>
      <c r="G101" s="1" t="s">
        <v>34</v>
      </c>
      <c r="H101" s="4">
        <f>1/J99</f>
        <v>1.25</v>
      </c>
      <c r="I101" s="4">
        <f>1/J100</f>
        <v>0.7142857143</v>
      </c>
      <c r="J101" s="1">
        <v>1.0</v>
      </c>
      <c r="K101" s="4">
        <f>V100/W100</f>
        <v>1.666666667</v>
      </c>
      <c r="M101" s="1" t="s">
        <v>34</v>
      </c>
      <c r="N101" s="4">
        <f>1/P99</f>
        <v>1.285714286</v>
      </c>
      <c r="O101" s="4">
        <f>1/P100</f>
        <v>4.5</v>
      </c>
      <c r="P101" s="1">
        <v>1.0</v>
      </c>
      <c r="Q101" s="4">
        <f>V101/W101</f>
        <v>3</v>
      </c>
      <c r="S101" s="1" t="s">
        <v>8</v>
      </c>
      <c r="T101" s="2">
        <v>7.0</v>
      </c>
      <c r="U101" s="2">
        <v>2.0</v>
      </c>
      <c r="V101" s="2">
        <v>9.0</v>
      </c>
      <c r="W101" s="2">
        <v>3.0</v>
      </c>
      <c r="X101" s="1" t="s">
        <v>11</v>
      </c>
    </row>
    <row r="102">
      <c r="A102" s="1" t="s">
        <v>35</v>
      </c>
      <c r="B102" s="4">
        <f>1/E99</f>
        <v>0.6666666667</v>
      </c>
      <c r="C102" s="4">
        <f>1/E100</f>
        <v>0.8</v>
      </c>
      <c r="D102" s="4">
        <f>1/E101</f>
        <v>0.6666666667</v>
      </c>
      <c r="E102" s="1">
        <v>1.0</v>
      </c>
      <c r="G102" s="1" t="s">
        <v>35</v>
      </c>
      <c r="H102" s="4">
        <f>1/K99</f>
        <v>0.75</v>
      </c>
      <c r="I102" s="4">
        <f>1/K100</f>
        <v>0.4285714286</v>
      </c>
      <c r="J102" s="4">
        <f>1/K101</f>
        <v>0.6</v>
      </c>
      <c r="K102" s="1">
        <v>1.0</v>
      </c>
      <c r="M102" s="1" t="s">
        <v>35</v>
      </c>
      <c r="N102" s="4">
        <f>1/Q99</f>
        <v>0.4285714286</v>
      </c>
      <c r="O102" s="4">
        <f>1/Q100</f>
        <v>1.5</v>
      </c>
      <c r="P102" s="4">
        <f>1/Q101</f>
        <v>0.3333333333</v>
      </c>
      <c r="Q102" s="1">
        <v>1.0</v>
      </c>
    </row>
    <row r="104">
      <c r="A104" s="1" t="s">
        <v>12</v>
      </c>
    </row>
    <row r="105">
      <c r="A105" s="1"/>
      <c r="B105" s="1" t="s">
        <v>32</v>
      </c>
      <c r="C105" s="1" t="s">
        <v>33</v>
      </c>
      <c r="D105" s="1" t="s">
        <v>34</v>
      </c>
      <c r="E105" s="1" t="s">
        <v>35</v>
      </c>
      <c r="F105" s="5"/>
      <c r="G105" s="5" t="s">
        <v>13</v>
      </c>
      <c r="H105" s="5"/>
      <c r="I105" s="6" t="s">
        <v>14</v>
      </c>
    </row>
    <row r="106">
      <c r="A106" s="1" t="s">
        <v>32</v>
      </c>
      <c r="B106" s="1">
        <f t="shared" ref="B106:E106" si="54">(B99*H99*N99)^(1/3)</f>
        <v>1</v>
      </c>
      <c r="C106" s="1">
        <f t="shared" si="54"/>
        <v>1.3388659</v>
      </c>
      <c r="D106" s="1">
        <f t="shared" si="54"/>
        <v>0.8537194433</v>
      </c>
      <c r="E106" s="1">
        <f t="shared" si="54"/>
        <v>1.671099312</v>
      </c>
      <c r="F106" s="5"/>
      <c r="G106" s="3">
        <f t="shared" ref="G106:G109" si="56">(E106*D106*C106*B106)^(1/4)</f>
        <v>1.175610966</v>
      </c>
      <c r="H106" s="5"/>
      <c r="I106" s="3">
        <f t="shared" ref="I106:I109" si="57">G106/$G$110</f>
        <v>0.284361192</v>
      </c>
    </row>
    <row r="107">
      <c r="A107" s="1" t="s">
        <v>33</v>
      </c>
      <c r="B107" s="1">
        <f t="shared" ref="B107:E107" si="55">(B100*H100*N100)^(1/3)</f>
        <v>0.7469007911</v>
      </c>
      <c r="C107" s="1">
        <f t="shared" si="55"/>
        <v>1</v>
      </c>
      <c r="D107" s="1">
        <f t="shared" si="55"/>
        <v>0.6376437276</v>
      </c>
      <c r="E107" s="1">
        <f t="shared" si="55"/>
        <v>1.248145398</v>
      </c>
      <c r="F107" s="5"/>
      <c r="G107" s="3">
        <f t="shared" si="56"/>
        <v>0.8780647603</v>
      </c>
      <c r="H107" s="5"/>
      <c r="I107" s="3">
        <f t="shared" si="57"/>
        <v>0.2123895992</v>
      </c>
    </row>
    <row r="108">
      <c r="A108" s="1" t="s">
        <v>34</v>
      </c>
      <c r="B108" s="1">
        <f t="shared" ref="B108:E108" si="58">(B101*H101*N101)^(1/3)</f>
        <v>1.171344998</v>
      </c>
      <c r="C108" s="1">
        <f t="shared" si="58"/>
        <v>1.568273876</v>
      </c>
      <c r="D108" s="1">
        <f t="shared" si="58"/>
        <v>1</v>
      </c>
      <c r="E108" s="1">
        <f t="shared" si="58"/>
        <v>1.957433821</v>
      </c>
      <c r="F108" s="5"/>
      <c r="G108" s="3">
        <f t="shared" si="56"/>
        <v>1.377046025</v>
      </c>
      <c r="H108" s="5"/>
      <c r="I108" s="3">
        <f t="shared" si="57"/>
        <v>0.33308506</v>
      </c>
    </row>
    <row r="109">
      <c r="A109" s="1" t="s">
        <v>35</v>
      </c>
      <c r="B109" s="1">
        <f t="shared" ref="B109:E109" si="59">(B102*H102*N102)^(1/3)</f>
        <v>0.5984084806</v>
      </c>
      <c r="C109" s="1">
        <f t="shared" si="59"/>
        <v>0.801188709</v>
      </c>
      <c r="D109" s="1">
        <f t="shared" si="59"/>
        <v>0.5108729549</v>
      </c>
      <c r="E109" s="1">
        <f t="shared" si="59"/>
        <v>1</v>
      </c>
      <c r="F109" s="5"/>
      <c r="G109" s="3">
        <f t="shared" si="56"/>
        <v>0.7034955717</v>
      </c>
      <c r="H109" s="5"/>
      <c r="I109" s="3">
        <f t="shared" si="57"/>
        <v>0.1701641488</v>
      </c>
    </row>
    <row r="110">
      <c r="F110" s="5" t="s">
        <v>19</v>
      </c>
      <c r="G110" s="3">
        <f>SUM(G106:G109)</f>
        <v>4.134217322</v>
      </c>
      <c r="H110" s="5"/>
      <c r="I110" s="3">
        <f>SUM(I106:I109)</f>
        <v>1</v>
      </c>
    </row>
    <row r="112">
      <c r="E112" s="1" t="s">
        <v>24</v>
      </c>
      <c r="F112" s="1" t="s">
        <v>25</v>
      </c>
      <c r="G112" s="1" t="s">
        <v>26</v>
      </c>
    </row>
    <row r="113">
      <c r="A113" s="1" t="s">
        <v>27</v>
      </c>
      <c r="D113" s="1"/>
      <c r="E113" s="4">
        <f>B115*I106+B116*I107+B117*I108+B118*I109</f>
        <v>4</v>
      </c>
      <c r="F113" s="4">
        <f>(E113-4)/(4-1)</f>
        <v>0</v>
      </c>
      <c r="G113" s="4">
        <f>F113/0.9</f>
        <v>0</v>
      </c>
    </row>
    <row r="114">
      <c r="A114" s="1" t="s">
        <v>28</v>
      </c>
      <c r="B114" s="1" t="s">
        <v>19</v>
      </c>
      <c r="F114" s="1" t="s">
        <v>29</v>
      </c>
      <c r="G114" s="4" t="b">
        <f>G113&lt;0.1</f>
        <v>1</v>
      </c>
    </row>
    <row r="115">
      <c r="A115" s="1" t="s">
        <v>3</v>
      </c>
      <c r="B115" s="4">
        <f>SUM(B106:B109)</f>
        <v>3.51665427</v>
      </c>
    </row>
    <row r="116">
      <c r="A116" s="1" t="s">
        <v>4</v>
      </c>
      <c r="B116" s="4">
        <f>SUM(C106:C109)</f>
        <v>4.708328485</v>
      </c>
    </row>
    <row r="117">
      <c r="A117" s="1" t="s">
        <v>5</v>
      </c>
      <c r="B117" s="4">
        <f>SUM(D106:D109)</f>
        <v>3.002236126</v>
      </c>
    </row>
    <row r="118">
      <c r="A118" s="1" t="s">
        <v>6</v>
      </c>
      <c r="B118" s="4">
        <f>SUM(E106:E109)</f>
        <v>5.87667853</v>
      </c>
    </row>
    <row r="120">
      <c r="B120" s="1" t="s">
        <v>43</v>
      </c>
      <c r="C120" s="1" t="s">
        <v>32</v>
      </c>
      <c r="D120" s="1" t="s">
        <v>33</v>
      </c>
      <c r="E120" s="1" t="s">
        <v>34</v>
      </c>
      <c r="F120" s="1" t="s">
        <v>35</v>
      </c>
      <c r="G120" s="1"/>
    </row>
    <row r="121">
      <c r="A121" s="1" t="s">
        <v>3</v>
      </c>
      <c r="B121" s="4">
        <f t="shared" ref="B121:B124" si="60">I11</f>
        <v>0.3099650258</v>
      </c>
      <c r="C121" s="4">
        <f>I35</f>
        <v>0.2334967315</v>
      </c>
      <c r="D121" s="4">
        <f>I36</f>
        <v>0.2319295921</v>
      </c>
      <c r="E121" s="4">
        <f>I37</f>
        <v>0.2775772696</v>
      </c>
      <c r="F121" s="4">
        <f>I38</f>
        <v>0.2569964067</v>
      </c>
    </row>
    <row r="122">
      <c r="A122" s="1" t="s">
        <v>4</v>
      </c>
      <c r="B122" s="4">
        <f t="shared" si="60"/>
        <v>0.2134456597</v>
      </c>
      <c r="C122" s="4">
        <f>I59</f>
        <v>0.3398013451</v>
      </c>
      <c r="D122" s="4">
        <f>I60</f>
        <v>0.3066153553</v>
      </c>
      <c r="E122" s="4">
        <f>I61</f>
        <v>0.2125952135</v>
      </c>
      <c r="F122" s="4">
        <f>I62</f>
        <v>0.1409880861</v>
      </c>
    </row>
    <row r="123">
      <c r="A123" s="1" t="s">
        <v>5</v>
      </c>
      <c r="B123" s="4">
        <f t="shared" si="60"/>
        <v>0.2596439235</v>
      </c>
      <c r="C123" s="4">
        <f>I83</f>
        <v>0.3569236445</v>
      </c>
      <c r="D123" s="4">
        <f>I84</f>
        <v>0.4598560452</v>
      </c>
      <c r="E123" s="4">
        <f>I85</f>
        <v>0.07793955737</v>
      </c>
      <c r="F123" s="4">
        <f>I86</f>
        <v>0.1052807529</v>
      </c>
    </row>
    <row r="124">
      <c r="A124" s="1" t="s">
        <v>6</v>
      </c>
      <c r="B124" s="4">
        <f t="shared" si="60"/>
        <v>0.2169453909</v>
      </c>
      <c r="C124" s="4">
        <f>I106</f>
        <v>0.284361192</v>
      </c>
      <c r="D124" s="4">
        <f>I107</f>
        <v>0.2123895992</v>
      </c>
      <c r="E124" s="4">
        <f>I108</f>
        <v>0.33308506</v>
      </c>
      <c r="F124" s="4">
        <f>I109</f>
        <v>0.1701641488</v>
      </c>
    </row>
    <row r="125">
      <c r="A125" s="1" t="s">
        <v>44</v>
      </c>
      <c r="C125" s="4">
        <f t="shared" ref="C125:F125" si="61">$B121*C121+$B122*C122+$B123*C123+$B124*C124</f>
        <v>0.2992688481</v>
      </c>
      <c r="D125" s="4">
        <f t="shared" si="61"/>
        <v>0.3028115513</v>
      </c>
      <c r="E125" s="4">
        <f t="shared" si="61"/>
        <v>0.2239145722</v>
      </c>
      <c r="F125" s="4">
        <f t="shared" si="61"/>
        <v>0.1740050284</v>
      </c>
    </row>
    <row r="126">
      <c r="A126" s="1" t="s">
        <v>45</v>
      </c>
      <c r="C126" s="1">
        <v>2.0</v>
      </c>
      <c r="D126" s="1">
        <v>1.0</v>
      </c>
      <c r="E126" s="1">
        <v>3.0</v>
      </c>
      <c r="F126" s="1">
        <v>4.0</v>
      </c>
    </row>
  </sheetData>
  <drawing r:id="rId1"/>
</worksheet>
</file>